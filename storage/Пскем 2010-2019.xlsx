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 activeTab="1"/>
  </bookViews>
  <sheets>
    <sheet name="Тошкент" sheetId="1" r:id="rId1"/>
    <sheet name="Пскем" sheetId="2" r:id="rId2"/>
    <sheet name="1" sheetId="3" r:id="rId3"/>
  </sheets>
  <calcPr calcId="152511"/>
</workbook>
</file>

<file path=xl/calcChain.xml><?xml version="1.0" encoding="utf-8"?>
<calcChain xmlns="http://schemas.openxmlformats.org/spreadsheetml/2006/main">
  <c r="O12" i="2" l="1"/>
  <c r="O13" i="2"/>
  <c r="O14" i="2"/>
  <c r="O15" i="2"/>
  <c r="O11" i="2" l="1"/>
  <c r="O10" i="2"/>
  <c r="O9" i="2"/>
  <c r="O8" i="2"/>
  <c r="O7" i="2"/>
  <c r="O6" i="2"/>
  <c r="AE4" i="1"/>
  <c r="AE5" i="1"/>
  <c r="AE6" i="1"/>
  <c r="AE7" i="1"/>
  <c r="AE8" i="1"/>
  <c r="AE9" i="1"/>
  <c r="AE10" i="1"/>
  <c r="AE11" i="1"/>
  <c r="AE12" i="1"/>
  <c r="AE3" i="1"/>
  <c r="P4" i="1"/>
  <c r="P5" i="1"/>
  <c r="P6" i="1"/>
  <c r="P7" i="1"/>
  <c r="P8" i="1"/>
  <c r="P9" i="1"/>
  <c r="P10" i="1"/>
  <c r="P11" i="1"/>
  <c r="P12" i="1"/>
  <c r="P3" i="1"/>
</calcChain>
</file>

<file path=xl/sharedStrings.xml><?xml version="1.0" encoding="utf-8"?>
<sst xmlns="http://schemas.openxmlformats.org/spreadsheetml/2006/main" count="11" uniqueCount="4">
  <si>
    <t>йиллар</t>
  </si>
  <si>
    <t>температура</t>
  </si>
  <si>
    <t>осадка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</si>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</sst>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MS Sans Serif"/>
      <family val="2"/>
      <charset val="204"/>
    </font>
    <font>
      <sz val="11"/>
      <color theme="1"/>
      <name val="Times New Roman"/>
      <family val="1"/>
      <charset val="204"/>
    </font>
    <font>
      <sz val="10"/>
      <color indexed="8"/>
      <name val="Arial Cyr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164" fontId="7" fillId="0" borderId="1" xfId="5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164" fontId="8" fillId="0" borderId="1" xfId="3" applyNumberFormat="1" applyFont="1" applyFill="1" applyBorder="1" applyAlignment="1">
      <alignment horizontal="center" vertical="center"/>
    </xf>
    <xf numFmtId="164" fontId="8" fillId="0" borderId="1" xfId="5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 wrapText="1"/>
    </xf>
  </cellXfs>
  <cellStyles count="7">
    <cellStyle name="Обычный" xfId="0" builtinId="0"/>
    <cellStyle name="Обычный 2" xfId="6"/>
    <cellStyle name="Обычный 4 2" xfId="4"/>
    <cellStyle name="Обычный 5" xfId="1"/>
    <cellStyle name="Обычный 5 2" xfId="5"/>
    <cellStyle name="Обычный_сред" xfId="2"/>
    <cellStyle name="Обычный_Средняя температура воздуха_1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E12"/>
  <sheetViews>
    <sheetView topLeftCell="L1" workbookViewId="0">
      <selection activeCell="P18" sqref="P18"/>
    </sheetView>
  </sheetViews>
  <sheetFormatPr defaultRowHeight="15" x14ac:dyDescent="0.25"/>
  <cols>
    <col min="1" max="16384" width="9.140625" style="1"/>
  </cols>
  <sheetData>
    <row r="1" spans="3:31" x14ac:dyDescent="0.25">
      <c r="H1" s="1" t="s">
        <v>1</v>
      </c>
      <c r="U1" s="1" t="s">
        <v>2</v>
      </c>
    </row>
    <row r="2" spans="3:31" x14ac:dyDescent="0.25">
      <c r="C2" s="2" t="s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10"/>
      <c r="R2" s="2" t="s">
        <v>0</v>
      </c>
      <c r="S2" s="2">
        <v>1</v>
      </c>
      <c r="T2" s="2">
        <v>2</v>
      </c>
      <c r="U2" s="2">
        <v>3</v>
      </c>
      <c r="V2" s="2">
        <v>4</v>
      </c>
      <c r="W2" s="2">
        <v>5</v>
      </c>
      <c r="X2" s="2">
        <v>6</v>
      </c>
      <c r="Y2" s="2">
        <v>7</v>
      </c>
      <c r="Z2" s="2">
        <v>8</v>
      </c>
      <c r="AA2" s="2">
        <v>9</v>
      </c>
      <c r="AB2" s="2">
        <v>10</v>
      </c>
      <c r="AC2" s="2">
        <v>11</v>
      </c>
      <c r="AD2" s="2">
        <v>12</v>
      </c>
    </row>
    <row r="3" spans="3:31" x14ac:dyDescent="0.25">
      <c r="C3" s="5">
        <v>2010</v>
      </c>
      <c r="D3" s="6">
        <v>5.6</v>
      </c>
      <c r="E3" s="6">
        <v>3.7</v>
      </c>
      <c r="F3" s="6">
        <v>11.6</v>
      </c>
      <c r="G3" s="6">
        <v>17.100000000000001</v>
      </c>
      <c r="H3" s="6">
        <v>20.7</v>
      </c>
      <c r="I3" s="6">
        <v>25.3</v>
      </c>
      <c r="J3" s="6">
        <v>27.3</v>
      </c>
      <c r="K3" s="6">
        <v>26.9</v>
      </c>
      <c r="L3" s="6">
        <v>20.9</v>
      </c>
      <c r="M3" s="6">
        <v>16.5</v>
      </c>
      <c r="N3" s="6">
        <v>9.6999999999999993</v>
      </c>
      <c r="O3" s="6">
        <v>3.8</v>
      </c>
      <c r="P3" s="11">
        <f>AVERAGE(D3:O3)</f>
        <v>15.758333333333333</v>
      </c>
      <c r="R3" s="3">
        <v>2010</v>
      </c>
      <c r="S3" s="4">
        <v>50</v>
      </c>
      <c r="T3" s="4">
        <v>134.9</v>
      </c>
      <c r="U3" s="4">
        <v>36.1</v>
      </c>
      <c r="V3" s="4">
        <v>86.4</v>
      </c>
      <c r="W3" s="4">
        <v>59.9</v>
      </c>
      <c r="X3" s="4">
        <v>66.2</v>
      </c>
      <c r="Y3" s="4">
        <v>3.4</v>
      </c>
      <c r="Z3" s="4">
        <v>3</v>
      </c>
      <c r="AA3" s="4">
        <v>5.7</v>
      </c>
      <c r="AB3" s="4">
        <v>15.5</v>
      </c>
      <c r="AC3" s="4">
        <v>25.2</v>
      </c>
      <c r="AD3" s="4">
        <v>12.7</v>
      </c>
      <c r="AE3" s="12">
        <f>SUM(S3:AD3)</f>
        <v>498.99999999999989</v>
      </c>
    </row>
    <row r="4" spans="3:31" x14ac:dyDescent="0.25">
      <c r="C4" s="5">
        <v>2011</v>
      </c>
      <c r="D4" s="6">
        <v>1.3</v>
      </c>
      <c r="E4" s="6">
        <v>2.4</v>
      </c>
      <c r="F4" s="6">
        <v>9.6</v>
      </c>
      <c r="G4" s="6">
        <v>17.7</v>
      </c>
      <c r="H4" s="6">
        <v>22.8</v>
      </c>
      <c r="I4" s="6">
        <v>26.8</v>
      </c>
      <c r="J4" s="6">
        <v>28.6</v>
      </c>
      <c r="K4" s="6">
        <v>27.8</v>
      </c>
      <c r="L4" s="6">
        <v>21.6</v>
      </c>
      <c r="M4" s="6">
        <v>15.3</v>
      </c>
      <c r="N4" s="6">
        <v>5.4</v>
      </c>
      <c r="O4" s="6">
        <v>-0.5</v>
      </c>
      <c r="P4" s="11">
        <f t="shared" ref="P4:P12" si="0">AVERAGE(D4:O4)</f>
        <v>14.9</v>
      </c>
      <c r="R4" s="3">
        <v>2011</v>
      </c>
      <c r="S4" s="4">
        <v>26.6</v>
      </c>
      <c r="T4" s="4">
        <v>96</v>
      </c>
      <c r="U4" s="4">
        <v>56.7</v>
      </c>
      <c r="V4" s="4">
        <v>20.6</v>
      </c>
      <c r="W4" s="4">
        <v>31.5</v>
      </c>
      <c r="X4" s="4">
        <v>24.1</v>
      </c>
      <c r="Y4" s="4">
        <v>0.8</v>
      </c>
      <c r="Z4" s="4">
        <v>0</v>
      </c>
      <c r="AA4" s="4">
        <v>0.9</v>
      </c>
      <c r="AB4" s="4">
        <v>29.4</v>
      </c>
      <c r="AC4" s="4">
        <v>167.3</v>
      </c>
      <c r="AD4" s="4">
        <v>37.299999999999997</v>
      </c>
      <c r="AE4" s="12">
        <f t="shared" ref="AE4:AE12" si="1">SUM(S4:AD4)</f>
        <v>491.2</v>
      </c>
    </row>
    <row r="5" spans="3:31" x14ac:dyDescent="0.25">
      <c r="C5" s="5">
        <v>2012</v>
      </c>
      <c r="D5" s="6">
        <v>0</v>
      </c>
      <c r="E5" s="6">
        <v>-0.6</v>
      </c>
      <c r="F5" s="6">
        <v>7.8</v>
      </c>
      <c r="G5" s="6">
        <v>19.399999999999999</v>
      </c>
      <c r="H5" s="6">
        <v>21.7</v>
      </c>
      <c r="I5" s="6">
        <v>26.6</v>
      </c>
      <c r="J5" s="6">
        <v>28.3</v>
      </c>
      <c r="K5" s="6">
        <v>28.3</v>
      </c>
      <c r="L5" s="6">
        <v>21.2</v>
      </c>
      <c r="M5" s="6">
        <v>14.7</v>
      </c>
      <c r="N5" s="6">
        <v>6.8</v>
      </c>
      <c r="O5" s="6">
        <v>0.9</v>
      </c>
      <c r="P5" s="11">
        <f t="shared" si="0"/>
        <v>14.591666666666667</v>
      </c>
      <c r="R5" s="3">
        <v>2012</v>
      </c>
      <c r="S5" s="4">
        <v>46.9</v>
      </c>
      <c r="T5" s="4">
        <v>63.6</v>
      </c>
      <c r="U5" s="4">
        <v>69.7</v>
      </c>
      <c r="V5" s="4">
        <v>72.400000000000006</v>
      </c>
      <c r="W5" s="4">
        <v>19.5</v>
      </c>
      <c r="X5" s="4">
        <v>18.5</v>
      </c>
      <c r="Y5" s="4">
        <v>1.2</v>
      </c>
      <c r="Z5" s="4">
        <v>0</v>
      </c>
      <c r="AA5" s="4">
        <v>0.4</v>
      </c>
      <c r="AB5" s="4">
        <v>6.3</v>
      </c>
      <c r="AC5" s="4">
        <v>62.7</v>
      </c>
      <c r="AD5" s="4">
        <v>42.2</v>
      </c>
      <c r="AE5" s="12">
        <f t="shared" si="1"/>
        <v>403.4</v>
      </c>
    </row>
    <row r="6" spans="3:31" x14ac:dyDescent="0.25">
      <c r="C6" s="7">
        <v>2013</v>
      </c>
      <c r="D6" s="8">
        <v>4.3</v>
      </c>
      <c r="E6" s="8">
        <v>5.5</v>
      </c>
      <c r="F6" s="8">
        <v>12</v>
      </c>
      <c r="G6" s="8">
        <v>15.3</v>
      </c>
      <c r="H6" s="8">
        <v>21.3</v>
      </c>
      <c r="I6" s="8">
        <v>26.6</v>
      </c>
      <c r="J6" s="8">
        <v>28.4</v>
      </c>
      <c r="K6" s="8">
        <v>26.5</v>
      </c>
      <c r="L6" s="8">
        <v>23.2</v>
      </c>
      <c r="M6" s="8">
        <v>14.9</v>
      </c>
      <c r="N6" s="8">
        <v>8.6</v>
      </c>
      <c r="O6" s="8">
        <v>2.8</v>
      </c>
      <c r="P6" s="11">
        <f t="shared" si="0"/>
        <v>15.783333333333333</v>
      </c>
      <c r="R6" s="3">
        <v>2013</v>
      </c>
      <c r="S6" s="4">
        <v>62.2</v>
      </c>
      <c r="T6" s="4">
        <v>44.9</v>
      </c>
      <c r="U6" s="4">
        <v>106.3</v>
      </c>
      <c r="V6" s="4">
        <v>45.9</v>
      </c>
      <c r="W6" s="4">
        <v>5.4</v>
      </c>
      <c r="X6" s="4">
        <v>4.7</v>
      </c>
      <c r="Y6" s="4">
        <v>0.9</v>
      </c>
      <c r="Z6" s="4">
        <v>2.8</v>
      </c>
      <c r="AA6" s="4">
        <v>0.4</v>
      </c>
      <c r="AB6" s="4">
        <v>14.3</v>
      </c>
      <c r="AC6" s="4">
        <v>17.399999999999999</v>
      </c>
      <c r="AD6" s="4">
        <v>87.2</v>
      </c>
      <c r="AE6" s="12">
        <f t="shared" si="1"/>
        <v>392.39999999999986</v>
      </c>
    </row>
    <row r="7" spans="3:31" x14ac:dyDescent="0.25">
      <c r="C7" s="5">
        <v>2014</v>
      </c>
      <c r="D7" s="6">
        <v>2.7</v>
      </c>
      <c r="E7" s="6">
        <v>-2.5</v>
      </c>
      <c r="F7" s="6">
        <v>9.6</v>
      </c>
      <c r="G7" s="6">
        <v>14.2</v>
      </c>
      <c r="H7" s="6">
        <v>23.1</v>
      </c>
      <c r="I7" s="6">
        <v>27.2</v>
      </c>
      <c r="J7" s="6">
        <v>27.5</v>
      </c>
      <c r="K7" s="6">
        <v>27.4</v>
      </c>
      <c r="L7" s="6">
        <v>21.4</v>
      </c>
      <c r="M7" s="6">
        <v>13</v>
      </c>
      <c r="N7" s="6">
        <v>5.8</v>
      </c>
      <c r="O7" s="6">
        <v>3.3</v>
      </c>
      <c r="P7" s="11">
        <f t="shared" si="0"/>
        <v>14.391666666666667</v>
      </c>
      <c r="R7" s="3">
        <v>2014</v>
      </c>
      <c r="S7" s="4">
        <v>90</v>
      </c>
      <c r="T7" s="4">
        <v>41.5</v>
      </c>
      <c r="U7" s="4">
        <v>77.5</v>
      </c>
      <c r="V7" s="4">
        <v>70.3</v>
      </c>
      <c r="W7" s="4">
        <v>30.4</v>
      </c>
      <c r="X7" s="4">
        <v>3.4</v>
      </c>
      <c r="Y7" s="4">
        <v>0</v>
      </c>
      <c r="Z7" s="4">
        <v>0</v>
      </c>
      <c r="AA7" s="4">
        <v>2.2999999999999998</v>
      </c>
      <c r="AB7" s="4">
        <v>55.9</v>
      </c>
      <c r="AC7" s="4">
        <v>69.599999999999994</v>
      </c>
      <c r="AD7" s="4">
        <v>31.5</v>
      </c>
      <c r="AE7" s="12">
        <f t="shared" si="1"/>
        <v>472.4</v>
      </c>
    </row>
    <row r="8" spans="3:31" x14ac:dyDescent="0.25">
      <c r="C8" s="5">
        <v>2015</v>
      </c>
      <c r="D8" s="9">
        <v>2.9</v>
      </c>
      <c r="E8" s="9">
        <v>6.8</v>
      </c>
      <c r="F8" s="9">
        <v>8.3000000000000007</v>
      </c>
      <c r="G8" s="9">
        <v>17.8</v>
      </c>
      <c r="H8" s="9">
        <v>22.6</v>
      </c>
      <c r="I8" s="9">
        <v>27.9</v>
      </c>
      <c r="J8" s="9">
        <v>29.8</v>
      </c>
      <c r="K8" s="9">
        <v>26.3</v>
      </c>
      <c r="L8" s="9">
        <v>20.5</v>
      </c>
      <c r="M8" s="9">
        <v>14.4</v>
      </c>
      <c r="N8" s="9">
        <v>7.9</v>
      </c>
      <c r="O8" s="9">
        <v>5.2</v>
      </c>
      <c r="P8" s="11">
        <f t="shared" si="0"/>
        <v>15.866666666666667</v>
      </c>
      <c r="R8" s="3">
        <v>2015</v>
      </c>
      <c r="S8" s="4">
        <v>78.7</v>
      </c>
      <c r="T8" s="4">
        <v>97</v>
      </c>
      <c r="U8" s="4">
        <v>64.7</v>
      </c>
      <c r="V8" s="4">
        <v>41.4</v>
      </c>
      <c r="W8" s="4">
        <v>37.1</v>
      </c>
      <c r="X8" s="4">
        <v>4</v>
      </c>
      <c r="Y8" s="4">
        <v>0.1</v>
      </c>
      <c r="Z8" s="4">
        <v>1.8</v>
      </c>
      <c r="AA8" s="4">
        <v>2.1</v>
      </c>
      <c r="AB8" s="4">
        <v>87.8</v>
      </c>
      <c r="AC8" s="4">
        <v>66.7</v>
      </c>
      <c r="AD8" s="4">
        <v>35.799999999999997</v>
      </c>
      <c r="AE8" s="12">
        <f t="shared" si="1"/>
        <v>517.20000000000005</v>
      </c>
    </row>
    <row r="9" spans="3:31" x14ac:dyDescent="0.25">
      <c r="C9" s="5">
        <v>2016</v>
      </c>
      <c r="D9" s="2">
        <v>6.3</v>
      </c>
      <c r="E9" s="2">
        <v>8.1</v>
      </c>
      <c r="F9" s="2">
        <v>17.600000000000001</v>
      </c>
      <c r="G9" s="2">
        <v>16</v>
      </c>
      <c r="H9" s="2">
        <v>22.3</v>
      </c>
      <c r="I9" s="2">
        <v>27.2</v>
      </c>
      <c r="J9" s="2">
        <v>28.8</v>
      </c>
      <c r="K9" s="2">
        <v>27.9</v>
      </c>
      <c r="L9" s="2">
        <v>24.1</v>
      </c>
      <c r="M9" s="2">
        <v>11.9</v>
      </c>
      <c r="N9" s="2">
        <v>6</v>
      </c>
      <c r="O9" s="2">
        <v>5.4</v>
      </c>
      <c r="P9" s="11">
        <f t="shared" si="0"/>
        <v>16.8</v>
      </c>
      <c r="R9" s="3">
        <v>2016</v>
      </c>
      <c r="S9" s="2">
        <v>78.900000000000006</v>
      </c>
      <c r="T9" s="2">
        <v>1.2</v>
      </c>
      <c r="U9" s="2">
        <v>90.3</v>
      </c>
      <c r="V9" s="2">
        <v>53.1</v>
      </c>
      <c r="W9" s="2">
        <v>44.4</v>
      </c>
      <c r="X9" s="2">
        <v>15</v>
      </c>
      <c r="Y9" s="2">
        <v>2.1</v>
      </c>
      <c r="Z9" s="2">
        <v>3.2</v>
      </c>
      <c r="AA9" s="2">
        <v>4.4000000000000004</v>
      </c>
      <c r="AB9" s="2">
        <v>43.2</v>
      </c>
      <c r="AC9" s="2">
        <v>54.2</v>
      </c>
      <c r="AD9" s="2">
        <v>89.7</v>
      </c>
      <c r="AE9" s="12">
        <f t="shared" si="1"/>
        <v>479.69999999999993</v>
      </c>
    </row>
    <row r="10" spans="3:31" x14ac:dyDescent="0.25">
      <c r="C10" s="7">
        <v>2017</v>
      </c>
      <c r="D10" s="2">
        <v>2.7</v>
      </c>
      <c r="E10" s="2">
        <v>2.8</v>
      </c>
      <c r="F10" s="2">
        <v>8.4</v>
      </c>
      <c r="G10" s="2">
        <v>15.1</v>
      </c>
      <c r="H10" s="2">
        <v>24.1</v>
      </c>
      <c r="I10" s="2">
        <v>27.2</v>
      </c>
      <c r="J10" s="2">
        <v>29.6</v>
      </c>
      <c r="K10" s="2">
        <v>26.7</v>
      </c>
      <c r="L10" s="2">
        <v>21.6</v>
      </c>
      <c r="M10" s="2">
        <v>15.6</v>
      </c>
      <c r="N10" s="2">
        <v>10.5</v>
      </c>
      <c r="O10" s="2">
        <v>2.5</v>
      </c>
      <c r="P10" s="11">
        <f t="shared" si="0"/>
        <v>15.566666666666665</v>
      </c>
      <c r="R10" s="3">
        <v>2017</v>
      </c>
      <c r="S10" s="2">
        <v>62.4</v>
      </c>
      <c r="T10" s="2">
        <v>118.2</v>
      </c>
      <c r="U10" s="2">
        <v>59.4</v>
      </c>
      <c r="V10" s="2">
        <v>36.6</v>
      </c>
      <c r="W10" s="2">
        <v>51.1</v>
      </c>
      <c r="X10" s="2">
        <v>3</v>
      </c>
      <c r="Y10" s="2">
        <v>0.4</v>
      </c>
      <c r="Z10" s="2">
        <v>1.3</v>
      </c>
      <c r="AA10" s="2">
        <v>11</v>
      </c>
      <c r="AB10" s="2">
        <v>10.199999999999999</v>
      </c>
      <c r="AC10" s="2">
        <v>36</v>
      </c>
      <c r="AD10" s="2">
        <v>41.8</v>
      </c>
      <c r="AE10" s="12">
        <f t="shared" si="1"/>
        <v>431.40000000000003</v>
      </c>
    </row>
    <row r="11" spans="3:31" x14ac:dyDescent="0.25">
      <c r="C11" s="5">
        <v>2018</v>
      </c>
      <c r="D11" s="2">
        <v>18.7</v>
      </c>
      <c r="E11" s="2">
        <v>4.5</v>
      </c>
      <c r="F11" s="2">
        <v>13.8</v>
      </c>
      <c r="G11" s="2">
        <v>16.100000000000001</v>
      </c>
      <c r="H11" s="2">
        <v>21.1</v>
      </c>
      <c r="I11" s="2">
        <v>26.7</v>
      </c>
      <c r="J11" s="2">
        <v>30.7</v>
      </c>
      <c r="K11" s="2">
        <v>27.1</v>
      </c>
      <c r="L11" s="2">
        <v>21.5</v>
      </c>
      <c r="M11" s="2">
        <v>14</v>
      </c>
      <c r="N11" s="2">
        <v>6.2</v>
      </c>
      <c r="O11" s="2">
        <v>4.8</v>
      </c>
      <c r="P11" s="11">
        <f t="shared" si="0"/>
        <v>17.099999999999998</v>
      </c>
      <c r="R11" s="3">
        <v>2018</v>
      </c>
      <c r="S11" s="2">
        <v>8.5</v>
      </c>
      <c r="T11" s="2">
        <v>60.1</v>
      </c>
      <c r="U11" s="2">
        <v>70.400000000000006</v>
      </c>
      <c r="V11" s="2">
        <v>50.5</v>
      </c>
      <c r="W11" s="2">
        <v>16.2</v>
      </c>
      <c r="X11" s="2">
        <v>9.5</v>
      </c>
      <c r="Y11" s="2">
        <v>0</v>
      </c>
      <c r="Z11" s="2">
        <v>0.7</v>
      </c>
      <c r="AA11" s="2">
        <v>0</v>
      </c>
      <c r="AB11" s="2">
        <v>45.9</v>
      </c>
      <c r="AC11" s="2">
        <v>57.5</v>
      </c>
      <c r="AD11" s="2">
        <v>52.9</v>
      </c>
      <c r="AE11" s="12">
        <f t="shared" si="1"/>
        <v>372.19999999999993</v>
      </c>
    </row>
    <row r="12" spans="3:31" x14ac:dyDescent="0.25">
      <c r="C12" s="5">
        <v>2019</v>
      </c>
      <c r="D12" s="2">
        <v>5.6</v>
      </c>
      <c r="E12" s="2">
        <v>5.7</v>
      </c>
      <c r="F12" s="2">
        <v>12.9</v>
      </c>
      <c r="G12" s="2">
        <v>15.8</v>
      </c>
      <c r="H12" s="2">
        <v>22.5</v>
      </c>
      <c r="I12" s="2">
        <v>25.6</v>
      </c>
      <c r="J12" s="2">
        <v>31.4</v>
      </c>
      <c r="K12" s="2">
        <v>27.5</v>
      </c>
      <c r="L12" s="2">
        <v>21.4</v>
      </c>
      <c r="M12" s="2">
        <v>16.100000000000001</v>
      </c>
      <c r="N12" s="2">
        <v>5.5</v>
      </c>
      <c r="O12" s="2">
        <v>6.3</v>
      </c>
      <c r="P12" s="11">
        <f t="shared" si="0"/>
        <v>16.358333333333334</v>
      </c>
      <c r="R12" s="3">
        <v>2019</v>
      </c>
      <c r="S12" s="2">
        <v>74.5</v>
      </c>
      <c r="T12" s="2">
        <v>30.6</v>
      </c>
      <c r="U12" s="2">
        <v>47.1</v>
      </c>
      <c r="V12" s="2">
        <v>146.19999999999999</v>
      </c>
      <c r="W12" s="2">
        <v>0.8</v>
      </c>
      <c r="X12" s="2">
        <v>55.6</v>
      </c>
      <c r="Y12" s="2">
        <v>0</v>
      </c>
      <c r="Z12" s="2">
        <v>0</v>
      </c>
      <c r="AA12" s="2">
        <v>2.4</v>
      </c>
      <c r="AB12" s="2">
        <v>4.5999999999999996</v>
      </c>
      <c r="AC12" s="2">
        <v>38.4</v>
      </c>
      <c r="AD12" s="2">
        <v>39.1</v>
      </c>
      <c r="AE12" s="12">
        <f t="shared" si="1"/>
        <v>439.3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D15"/>
  <sheetViews>
    <sheetView tabSelected="1" workbookViewId="0">
      <selection activeCell="X19" sqref="X19"/>
    </sheetView>
  </sheetViews>
  <sheetFormatPr defaultRowHeight="15" x14ac:dyDescent="0.25"/>
  <cols>
    <col min="1" max="16384" width="9.140625" style="1"/>
  </cols>
  <sheetData>
    <row r="4" spans="2:30" x14ac:dyDescent="0.25">
      <c r="G4" s="1" t="s">
        <v>1</v>
      </c>
      <c r="T4" s="1" t="s">
        <v>2</v>
      </c>
    </row>
    <row r="5" spans="2:30" x14ac:dyDescent="0.25">
      <c r="B5" s="2" t="s">
        <v>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Q5" s="2" t="s">
        <v>0</v>
      </c>
      <c r="R5" s="2">
        <v>1</v>
      </c>
      <c r="S5" s="2">
        <v>2</v>
      </c>
      <c r="T5" s="2">
        <v>3</v>
      </c>
      <c r="U5" s="2">
        <v>4</v>
      </c>
      <c r="V5" s="2">
        <v>5</v>
      </c>
      <c r="W5" s="2">
        <v>6</v>
      </c>
      <c r="X5" s="2">
        <v>7</v>
      </c>
      <c r="Y5" s="2">
        <v>8</v>
      </c>
      <c r="Z5" s="2">
        <v>9</v>
      </c>
      <c r="AA5" s="2">
        <v>10</v>
      </c>
      <c r="AB5" s="2">
        <v>11</v>
      </c>
      <c r="AC5" s="2">
        <v>12</v>
      </c>
    </row>
    <row r="6" spans="2:30" x14ac:dyDescent="0.25">
      <c r="B6" s="5">
        <v>2010</v>
      </c>
      <c r="C6" s="14">
        <v>-0.8</v>
      </c>
      <c r="D6" s="14">
        <v>-1.8</v>
      </c>
      <c r="E6" s="14">
        <v>5</v>
      </c>
      <c r="F6" s="14">
        <v>11.9</v>
      </c>
      <c r="G6" s="14">
        <v>14.3</v>
      </c>
      <c r="H6" s="14">
        <v>18.2</v>
      </c>
      <c r="I6" s="14">
        <v>21.1</v>
      </c>
      <c r="J6" s="14">
        <v>22.2</v>
      </c>
      <c r="K6" s="14">
        <v>16.2</v>
      </c>
      <c r="L6" s="14">
        <v>11.8</v>
      </c>
      <c r="M6" s="14">
        <v>6.8</v>
      </c>
      <c r="N6" s="14">
        <v>1.2</v>
      </c>
      <c r="O6" s="13">
        <f t="shared" ref="O6:O15" si="0">AVERAGE(C6:N6)</f>
        <v>10.508333333333335</v>
      </c>
      <c r="Q6" s="3">
        <v>2010</v>
      </c>
      <c r="R6" s="19">
        <v>186</v>
      </c>
      <c r="S6" s="19">
        <v>226.8</v>
      </c>
      <c r="T6" s="19">
        <v>157.6</v>
      </c>
      <c r="U6" s="19">
        <v>135.6</v>
      </c>
      <c r="V6" s="19">
        <v>106.9</v>
      </c>
      <c r="W6" s="19">
        <v>61.3</v>
      </c>
      <c r="X6" s="19">
        <v>19.2</v>
      </c>
      <c r="Y6" s="19">
        <v>9.3000000000000007</v>
      </c>
      <c r="Z6" s="19">
        <v>29.2</v>
      </c>
      <c r="AA6" s="19">
        <v>52.8</v>
      </c>
      <c r="AB6" s="19">
        <v>16.3</v>
      </c>
      <c r="AC6" s="19">
        <v>24.2</v>
      </c>
      <c r="AD6" s="12"/>
    </row>
    <row r="7" spans="2:30" x14ac:dyDescent="0.25">
      <c r="B7" s="5">
        <v>2011</v>
      </c>
      <c r="C7" s="14">
        <v>-2</v>
      </c>
      <c r="D7" s="14">
        <v>-2.6</v>
      </c>
      <c r="E7" s="14">
        <v>2.9</v>
      </c>
      <c r="F7" s="14">
        <v>12.4</v>
      </c>
      <c r="G7" s="14">
        <v>15.5</v>
      </c>
      <c r="H7" s="14">
        <v>17.899999999999999</v>
      </c>
      <c r="I7" s="14">
        <v>22.3</v>
      </c>
      <c r="J7" s="14">
        <v>22.5</v>
      </c>
      <c r="K7" s="14">
        <v>17.7</v>
      </c>
      <c r="L7" s="14">
        <v>10.7</v>
      </c>
      <c r="M7" s="14">
        <v>1.6</v>
      </c>
      <c r="N7" s="14">
        <v>-4.0999999999999996</v>
      </c>
      <c r="O7" s="13">
        <f t="shared" si="0"/>
        <v>9.5666666666666682</v>
      </c>
      <c r="Q7" s="3">
        <v>2011</v>
      </c>
      <c r="R7" s="19">
        <v>55.8</v>
      </c>
      <c r="S7" s="19">
        <v>198.6</v>
      </c>
      <c r="T7" s="19">
        <v>71.099999999999994</v>
      </c>
      <c r="U7" s="19">
        <v>60.6</v>
      </c>
      <c r="V7" s="19">
        <v>98.4</v>
      </c>
      <c r="W7" s="19">
        <v>100.7</v>
      </c>
      <c r="X7" s="19">
        <v>2.6</v>
      </c>
      <c r="Y7" s="19">
        <v>4.8</v>
      </c>
      <c r="Z7" s="19">
        <v>12.1</v>
      </c>
      <c r="AA7" s="19">
        <v>54.5</v>
      </c>
      <c r="AB7" s="19">
        <v>288.8</v>
      </c>
      <c r="AC7" s="19">
        <v>79.8</v>
      </c>
      <c r="AD7" s="12"/>
    </row>
    <row r="8" spans="2:30" x14ac:dyDescent="0.25">
      <c r="B8" s="5">
        <v>2012</v>
      </c>
      <c r="C8" s="14">
        <v>-5.0999999999999996</v>
      </c>
      <c r="D8" s="14">
        <v>-5.4</v>
      </c>
      <c r="E8" s="14">
        <v>0.6</v>
      </c>
      <c r="F8" s="14">
        <v>12.7</v>
      </c>
      <c r="G8" s="14">
        <v>14.6</v>
      </c>
      <c r="H8" s="14">
        <v>19.2</v>
      </c>
      <c r="I8" s="14">
        <v>22.1</v>
      </c>
      <c r="J8" s="14">
        <v>23.1</v>
      </c>
      <c r="K8" s="14">
        <v>17.399999999999999</v>
      </c>
      <c r="L8" s="14">
        <v>10.4</v>
      </c>
      <c r="M8" s="14">
        <v>3.2</v>
      </c>
      <c r="N8" s="14">
        <v>-2.2000000000000002</v>
      </c>
      <c r="O8" s="13">
        <f t="shared" si="0"/>
        <v>9.2166666666666668</v>
      </c>
      <c r="Q8" s="3">
        <v>2012</v>
      </c>
      <c r="R8" s="19">
        <v>54</v>
      </c>
      <c r="S8" s="19">
        <v>105.3</v>
      </c>
      <c r="T8" s="19">
        <v>135.5</v>
      </c>
      <c r="U8" s="19">
        <v>54.4</v>
      </c>
      <c r="V8" s="19">
        <v>47.1</v>
      </c>
      <c r="W8" s="19">
        <v>29.9</v>
      </c>
      <c r="X8" s="19">
        <v>20.399999999999999</v>
      </c>
      <c r="Y8" s="19">
        <v>9.3000000000000007</v>
      </c>
      <c r="Z8" s="19">
        <v>1.6</v>
      </c>
      <c r="AA8" s="19">
        <v>30</v>
      </c>
      <c r="AB8" s="19">
        <v>100.2</v>
      </c>
      <c r="AC8" s="19">
        <v>104.2</v>
      </c>
      <c r="AD8" s="12"/>
    </row>
    <row r="9" spans="2:30" x14ac:dyDescent="0.25">
      <c r="B9" s="5">
        <v>2013</v>
      </c>
      <c r="C9" s="15">
        <v>-2.2999999999999998</v>
      </c>
      <c r="D9" s="15">
        <v>-0.2</v>
      </c>
      <c r="E9" s="15">
        <v>5.5</v>
      </c>
      <c r="F9" s="15">
        <v>10.5</v>
      </c>
      <c r="G9" s="15">
        <v>15.1</v>
      </c>
      <c r="H9" s="15">
        <v>19</v>
      </c>
      <c r="I9" s="15">
        <v>21.4</v>
      </c>
      <c r="J9" s="15">
        <v>21.4</v>
      </c>
      <c r="K9" s="15">
        <v>19.2</v>
      </c>
      <c r="L9" s="15">
        <v>11.5</v>
      </c>
      <c r="M9" s="15">
        <v>4.9000000000000004</v>
      </c>
      <c r="N9" s="15">
        <v>-2.4</v>
      </c>
      <c r="O9" s="13">
        <f t="shared" si="0"/>
        <v>10.3</v>
      </c>
      <c r="Q9" s="3">
        <v>2013</v>
      </c>
      <c r="R9" s="19">
        <v>103</v>
      </c>
      <c r="S9" s="19">
        <v>74.900000000000006</v>
      </c>
      <c r="T9" s="19">
        <v>126.8</v>
      </c>
      <c r="U9" s="19">
        <v>82.9</v>
      </c>
      <c r="V9" s="19">
        <v>78.599999999999994</v>
      </c>
      <c r="W9" s="19">
        <v>63</v>
      </c>
      <c r="X9" s="19">
        <v>21.8</v>
      </c>
      <c r="Y9" s="19">
        <v>19.2</v>
      </c>
      <c r="Z9" s="19">
        <v>22</v>
      </c>
      <c r="AA9" s="19">
        <v>17.5</v>
      </c>
      <c r="AB9" s="19">
        <v>66.5</v>
      </c>
      <c r="AC9" s="19">
        <v>111.8</v>
      </c>
      <c r="AD9" s="12"/>
    </row>
    <row r="10" spans="2:30" x14ac:dyDescent="0.25">
      <c r="B10" s="5">
        <v>2014</v>
      </c>
      <c r="C10" s="14" t="s">
        <v>3</v>
      </c>
      <c r="D10" s="14" t="s">
        <v>3</v>
      </c>
      <c r="E10" s="14" t="s">
        <v>3</v>
      </c>
      <c r="F10" s="14">
        <v>8.8000000000000007</v>
      </c>
      <c r="G10" s="14">
        <v>17</v>
      </c>
      <c r="H10" s="14">
        <v>19.600000000000001</v>
      </c>
      <c r="I10" s="14">
        <v>22.1</v>
      </c>
      <c r="J10" s="14">
        <v>22.9</v>
      </c>
      <c r="K10" s="14">
        <v>17.2</v>
      </c>
      <c r="L10" s="14">
        <v>9.1999999999999993</v>
      </c>
      <c r="M10" s="14">
        <v>2</v>
      </c>
      <c r="N10" s="14">
        <v>-1.5</v>
      </c>
      <c r="O10" s="13">
        <f t="shared" si="0"/>
        <v>13.033333333333335</v>
      </c>
      <c r="Q10" s="3">
        <v>2014</v>
      </c>
      <c r="R10" s="19">
        <v>221.3</v>
      </c>
      <c r="S10" s="19">
        <v>82.3</v>
      </c>
      <c r="T10" s="19">
        <v>111.6</v>
      </c>
      <c r="U10" s="19">
        <v>139.30000000000001</v>
      </c>
      <c r="V10" s="19">
        <v>35.299999999999997</v>
      </c>
      <c r="W10" s="19">
        <v>43.3</v>
      </c>
      <c r="X10" s="19">
        <v>1.2</v>
      </c>
      <c r="Y10" s="19">
        <v>2.2000000000000002</v>
      </c>
      <c r="Z10" s="19">
        <v>15.8</v>
      </c>
      <c r="AA10" s="19">
        <v>124.6</v>
      </c>
      <c r="AB10" s="19">
        <v>123.8</v>
      </c>
      <c r="AC10" s="19">
        <v>46.4</v>
      </c>
      <c r="AD10" s="12"/>
    </row>
    <row r="11" spans="2:30" x14ac:dyDescent="0.25">
      <c r="B11" s="5">
        <v>2015</v>
      </c>
      <c r="C11" s="16">
        <v>-2.1</v>
      </c>
      <c r="D11" s="16">
        <v>0.4</v>
      </c>
      <c r="E11" s="16">
        <v>2.8</v>
      </c>
      <c r="F11" s="16">
        <v>11.1</v>
      </c>
      <c r="G11" s="16">
        <v>15.4</v>
      </c>
      <c r="H11" s="16">
        <v>20.2</v>
      </c>
      <c r="I11" s="16">
        <v>24.4</v>
      </c>
      <c r="J11" s="16">
        <v>21.5</v>
      </c>
      <c r="K11" s="16">
        <v>15.5</v>
      </c>
      <c r="L11" s="16">
        <v>10.8</v>
      </c>
      <c r="M11" s="16">
        <v>3</v>
      </c>
      <c r="N11" s="16">
        <v>-1.3</v>
      </c>
      <c r="O11" s="13">
        <f t="shared" si="0"/>
        <v>10.141666666666666</v>
      </c>
      <c r="Q11" s="3">
        <v>2015</v>
      </c>
      <c r="R11" s="19">
        <v>108.5</v>
      </c>
      <c r="S11" s="19">
        <v>117.5</v>
      </c>
      <c r="T11" s="19">
        <v>77</v>
      </c>
      <c r="U11" s="19">
        <v>47.5</v>
      </c>
      <c r="V11" s="19">
        <v>72.5</v>
      </c>
      <c r="W11" s="19">
        <v>24.2</v>
      </c>
      <c r="X11" s="19">
        <v>1.4</v>
      </c>
      <c r="Y11" s="19">
        <v>22.4</v>
      </c>
      <c r="Z11" s="19">
        <v>28.3</v>
      </c>
      <c r="AA11" s="19">
        <v>128.30000000000001</v>
      </c>
      <c r="AB11" s="19">
        <v>196.1</v>
      </c>
      <c r="AC11" s="19">
        <v>115.2</v>
      </c>
      <c r="AD11" s="12"/>
    </row>
    <row r="12" spans="2:30" x14ac:dyDescent="0.25">
      <c r="B12" s="5">
        <v>2016</v>
      </c>
      <c r="C12" s="17">
        <v>0.24838709677419346</v>
      </c>
      <c r="D12" s="17">
        <v>1.8379310344827586</v>
      </c>
      <c r="E12" s="17">
        <v>8.8099999999999987</v>
      </c>
      <c r="F12" s="17">
        <v>10.816666666666666</v>
      </c>
      <c r="G12" s="17">
        <v>15.096774193548383</v>
      </c>
      <c r="H12" s="17">
        <v>19.450000000000003</v>
      </c>
      <c r="I12" s="17">
        <v>21.387096774193544</v>
      </c>
      <c r="J12" s="17">
        <v>21.716129032258063</v>
      </c>
      <c r="K12" s="17">
        <v>18.943333333333328</v>
      </c>
      <c r="L12" s="17">
        <v>7.709677419354839</v>
      </c>
      <c r="M12" s="17">
        <v>2.7499999999999991</v>
      </c>
      <c r="N12" s="17">
        <v>-0.10000000000000019</v>
      </c>
      <c r="O12" s="13">
        <f t="shared" si="0"/>
        <v>10.722166295884314</v>
      </c>
      <c r="Q12" s="3">
        <v>2016</v>
      </c>
      <c r="R12" s="19">
        <v>78.2</v>
      </c>
      <c r="S12" s="19">
        <v>21</v>
      </c>
      <c r="T12" s="19">
        <v>123.8</v>
      </c>
      <c r="U12" s="19">
        <v>40.5</v>
      </c>
      <c r="V12" s="19">
        <v>191</v>
      </c>
      <c r="W12" s="19">
        <v>48.7</v>
      </c>
      <c r="X12" s="19">
        <v>72.2</v>
      </c>
      <c r="Y12" s="19">
        <v>0.4</v>
      </c>
      <c r="Z12" s="19">
        <v>24.7</v>
      </c>
      <c r="AA12" s="19">
        <v>98.8</v>
      </c>
      <c r="AB12" s="19">
        <v>58.1</v>
      </c>
      <c r="AC12" s="19">
        <v>190.2</v>
      </c>
      <c r="AD12" s="12"/>
    </row>
    <row r="13" spans="2:30" x14ac:dyDescent="0.25">
      <c r="B13" s="5">
        <v>2017</v>
      </c>
      <c r="C13" s="17">
        <v>-3.0806451612903225</v>
      </c>
      <c r="D13" s="17">
        <v>-1.9714285714285713</v>
      </c>
      <c r="E13" s="17">
        <v>5.32258064516129</v>
      </c>
      <c r="F13" s="17">
        <v>8.870000000000001</v>
      </c>
      <c r="G13" s="17">
        <v>16.861290322580643</v>
      </c>
      <c r="H13" s="17">
        <v>19.716666666666665</v>
      </c>
      <c r="I13" s="17">
        <v>24.261290322580646</v>
      </c>
      <c r="J13" s="17">
        <v>21.696774193548386</v>
      </c>
      <c r="K13" s="17">
        <v>17.45</v>
      </c>
      <c r="L13" s="17">
        <v>10.119354838709679</v>
      </c>
      <c r="M13" s="17">
        <v>6.3633333333333315</v>
      </c>
      <c r="N13" s="17">
        <v>-1.1451612903225807</v>
      </c>
      <c r="O13" s="13">
        <f t="shared" si="0"/>
        <v>10.372004608294931</v>
      </c>
      <c r="Q13" s="3">
        <v>2017</v>
      </c>
      <c r="R13" s="19">
        <v>75.8</v>
      </c>
      <c r="S13" s="19">
        <v>192.2</v>
      </c>
      <c r="T13" s="19">
        <v>100.7</v>
      </c>
      <c r="U13" s="19">
        <v>176.6</v>
      </c>
      <c r="V13" s="19">
        <v>97.7</v>
      </c>
      <c r="W13" s="19">
        <v>11.3</v>
      </c>
      <c r="X13" s="19">
        <v>7.6</v>
      </c>
      <c r="Y13" s="19">
        <v>12.3</v>
      </c>
      <c r="Z13" s="19">
        <v>49</v>
      </c>
      <c r="AA13" s="19">
        <v>28.6</v>
      </c>
      <c r="AB13" s="19">
        <v>19.600000000000001</v>
      </c>
      <c r="AC13" s="19">
        <v>101.8</v>
      </c>
      <c r="AD13" s="12"/>
    </row>
    <row r="14" spans="2:30" x14ac:dyDescent="0.25">
      <c r="B14" s="5">
        <v>2018</v>
      </c>
      <c r="C14" s="17">
        <v>-1.8354838709677421</v>
      </c>
      <c r="D14" s="17">
        <v>-0.64285714285714324</v>
      </c>
      <c r="E14" s="17">
        <v>6.7161290322580633</v>
      </c>
      <c r="F14" s="17">
        <v>10.999999999999998</v>
      </c>
      <c r="G14" s="17">
        <v>14.483870967741938</v>
      </c>
      <c r="H14" s="17">
        <v>18.059999999999999</v>
      </c>
      <c r="I14" s="17">
        <v>23.832258064516129</v>
      </c>
      <c r="J14" s="17">
        <v>21.790322580645157</v>
      </c>
      <c r="K14" s="17">
        <v>16.643333333333338</v>
      </c>
      <c r="L14" s="17">
        <v>8.2806451612903196</v>
      </c>
      <c r="M14" s="17">
        <v>1.9400000000000002</v>
      </c>
      <c r="N14" s="17">
        <v>-2.5806451612903205E-2</v>
      </c>
      <c r="O14" s="13">
        <f t="shared" si="0"/>
        <v>10.020200972862263</v>
      </c>
      <c r="Q14" s="3">
        <v>2018</v>
      </c>
      <c r="R14" s="19">
        <v>56.1</v>
      </c>
      <c r="S14" s="19">
        <v>84.2</v>
      </c>
      <c r="T14" s="19">
        <v>159</v>
      </c>
      <c r="U14" s="19">
        <v>77.7</v>
      </c>
      <c r="V14" s="19">
        <v>53.3</v>
      </c>
      <c r="W14" s="19">
        <v>46.8</v>
      </c>
      <c r="X14" s="19">
        <v>6.2</v>
      </c>
      <c r="Y14" s="19">
        <v>9.1999999999999993</v>
      </c>
      <c r="Z14" s="19">
        <v>8.5</v>
      </c>
      <c r="AA14" s="19">
        <v>78.099999999999994</v>
      </c>
      <c r="AB14" s="19">
        <v>211</v>
      </c>
      <c r="AC14" s="19">
        <v>109.9</v>
      </c>
      <c r="AD14" s="12"/>
    </row>
    <row r="15" spans="2:30" x14ac:dyDescent="0.25">
      <c r="B15" s="5">
        <v>2019</v>
      </c>
      <c r="C15" s="17">
        <v>-1.5612903225806452</v>
      </c>
      <c r="D15" s="17">
        <v>-0.82857142857142863</v>
      </c>
      <c r="E15" s="17">
        <v>5.6709677419354856</v>
      </c>
      <c r="F15" s="17">
        <v>10.533333333333333</v>
      </c>
      <c r="G15" s="17">
        <v>15.409677419354843</v>
      </c>
      <c r="H15" s="17">
        <v>17.586666666666662</v>
      </c>
      <c r="I15" s="17">
        <v>25.022580645161291</v>
      </c>
      <c r="J15" s="17">
        <v>22.122580645161293</v>
      </c>
      <c r="K15" s="17">
        <v>16.410000000000004</v>
      </c>
      <c r="L15" s="17">
        <v>11.383870967741933</v>
      </c>
      <c r="M15" s="17">
        <v>2.78</v>
      </c>
      <c r="N15" s="17">
        <v>8.0645161290322426E-2</v>
      </c>
      <c r="O15" s="13">
        <f t="shared" si="0"/>
        <v>10.384205069124423</v>
      </c>
      <c r="Q15" s="3">
        <v>2019</v>
      </c>
      <c r="R15" s="18">
        <v>115.5</v>
      </c>
      <c r="S15" s="18">
        <v>41.5</v>
      </c>
      <c r="T15" s="18">
        <v>52.3</v>
      </c>
      <c r="U15" s="18">
        <v>202</v>
      </c>
      <c r="V15" s="18">
        <v>36.200000000000003</v>
      </c>
      <c r="W15" s="18">
        <v>49.9</v>
      </c>
      <c r="X15" s="18">
        <v>2.6</v>
      </c>
      <c r="Y15" s="18">
        <v>0.9</v>
      </c>
      <c r="Z15" s="18">
        <v>21.5</v>
      </c>
      <c r="AA15" s="18">
        <v>6</v>
      </c>
      <c r="AB15" s="18">
        <v>63.8</v>
      </c>
      <c r="AC15" s="18">
        <v>107</v>
      </c>
      <c r="AD1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Тошкент</vt:lpstr>
      <vt:lpstr>Пскем</vt:lpstr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2021-01-17T08:23:47Z</dcterms:modified>
</cp:coreProperties>
</file>