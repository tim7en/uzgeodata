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TM_UTM\points_elev\"/>
    </mc:Choice>
  </mc:AlternateContent>
  <xr:revisionPtr revIDLastSave="0" documentId="8_{E38DAA4B-56B7-4D55-A7CF-E4BB742BCAED}" xr6:coauthVersionLast="37" xr6:coauthVersionMax="3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F93" i="1" l="1"/>
  <c r="E93" i="1"/>
  <c r="F95" i="1"/>
  <c r="E95" i="1"/>
  <c r="F92" i="1"/>
  <c r="E92" i="1"/>
  <c r="F101" i="1"/>
  <c r="E101" i="1"/>
  <c r="F91" i="1"/>
  <c r="E91" i="1"/>
  <c r="F90" i="1"/>
  <c r="E90" i="1"/>
  <c r="F111" i="1"/>
  <c r="E111" i="1"/>
  <c r="F105" i="1"/>
  <c r="E105" i="1"/>
  <c r="F104" i="1"/>
  <c r="E104" i="1"/>
  <c r="F89" i="1"/>
  <c r="E89" i="1"/>
  <c r="F114" i="1"/>
  <c r="E114" i="1"/>
  <c r="F113" i="1"/>
  <c r="E113" i="1"/>
  <c r="F112" i="1"/>
  <c r="E112" i="1"/>
  <c r="F88" i="1"/>
  <c r="E88" i="1"/>
  <c r="F108" i="1"/>
  <c r="E108" i="1"/>
  <c r="F109" i="1"/>
  <c r="E109" i="1"/>
  <c r="F99" i="1"/>
  <c r="E99" i="1"/>
  <c r="F87" i="1"/>
  <c r="E87" i="1"/>
  <c r="F86" i="1"/>
  <c r="F85" i="1"/>
  <c r="E85" i="1"/>
  <c r="F84" i="1"/>
  <c r="E84" i="1"/>
  <c r="E86" i="1"/>
  <c r="F83" i="1"/>
  <c r="E83" i="1"/>
  <c r="F100" i="1"/>
  <c r="E100" i="1"/>
  <c r="F82" i="1"/>
  <c r="E82" i="1"/>
  <c r="F81" i="1"/>
  <c r="E81" i="1"/>
  <c r="F103" i="1"/>
  <c r="E103" i="1"/>
  <c r="F102" i="1"/>
  <c r="E102" i="1"/>
  <c r="F110" i="1"/>
  <c r="E110" i="1"/>
  <c r="F80" i="1"/>
  <c r="E80" i="1"/>
  <c r="F79" i="1"/>
  <c r="E79" i="1"/>
  <c r="F78" i="1"/>
  <c r="E78" i="1"/>
  <c r="F77" i="1"/>
  <c r="E77" i="1"/>
  <c r="F76" i="1"/>
  <c r="E76" i="1"/>
  <c r="F75" i="1"/>
  <c r="E75" i="1"/>
  <c r="F97" i="1"/>
  <c r="E97" i="1"/>
  <c r="F74" i="1"/>
  <c r="E74" i="1"/>
  <c r="F73" i="1"/>
  <c r="E73" i="1"/>
  <c r="F96" i="1"/>
  <c r="E96" i="1"/>
  <c r="F72" i="1"/>
  <c r="E72" i="1"/>
  <c r="F98" i="1"/>
  <c r="E98" i="1"/>
  <c r="F107" i="1"/>
  <c r="E107" i="1"/>
  <c r="F106" i="1"/>
  <c r="E106" i="1"/>
  <c r="F71" i="1"/>
  <c r="E71" i="1"/>
  <c r="F70" i="1"/>
  <c r="E70" i="1"/>
  <c r="F69" i="1"/>
  <c r="E69" i="1"/>
  <c r="F67" i="1"/>
  <c r="E67" i="1"/>
  <c r="F94" i="1"/>
  <c r="E94" i="1"/>
  <c r="F66" i="1"/>
  <c r="E66" i="1"/>
  <c r="F65" i="1"/>
  <c r="E65" i="1"/>
  <c r="F64" i="1"/>
  <c r="E64" i="1"/>
  <c r="F63" i="1"/>
  <c r="E63" i="1"/>
  <c r="F62" i="1"/>
  <c r="E62" i="1"/>
  <c r="F49" i="1"/>
  <c r="E49" i="1"/>
  <c r="F39" i="1"/>
  <c r="E39" i="1"/>
  <c r="F45" i="1"/>
  <c r="E45" i="1"/>
  <c r="F38" i="1"/>
  <c r="E38" i="1"/>
  <c r="F37" i="1"/>
  <c r="E37" i="1"/>
  <c r="F29" i="1"/>
  <c r="E29" i="1"/>
  <c r="F28" i="1"/>
  <c r="E28" i="1"/>
  <c r="F27" i="1"/>
  <c r="E2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6" i="1"/>
  <c r="E26" i="1"/>
  <c r="F25" i="1"/>
  <c r="E25" i="1"/>
  <c r="F24" i="1"/>
  <c r="E24" i="1"/>
  <c r="F23" i="1"/>
  <c r="E23" i="1"/>
  <c r="F22" i="1"/>
  <c r="E22" i="1"/>
  <c r="F21" i="1"/>
  <c r="E21" i="1"/>
  <c r="F46" i="1"/>
  <c r="E46" i="1"/>
  <c r="F40" i="1"/>
  <c r="E40" i="1"/>
  <c r="F56" i="1"/>
  <c r="E56" i="1"/>
  <c r="F55" i="1"/>
  <c r="E55" i="1"/>
  <c r="F54" i="1"/>
  <c r="E54" i="1"/>
  <c r="E20" i="1"/>
  <c r="F19" i="1"/>
  <c r="F41" i="1"/>
  <c r="E41" i="1"/>
  <c r="F18" i="1"/>
  <c r="E18" i="1"/>
  <c r="F17" i="1"/>
  <c r="E17" i="1"/>
  <c r="F16" i="1"/>
  <c r="E16" i="1"/>
  <c r="F47" i="1"/>
  <c r="E47" i="1"/>
  <c r="F44" i="1"/>
  <c r="E44" i="1"/>
  <c r="F14" i="1"/>
  <c r="E14" i="1"/>
  <c r="F13" i="1"/>
  <c r="E13" i="1"/>
  <c r="F12" i="1"/>
  <c r="E12" i="1"/>
  <c r="F43" i="1"/>
  <c r="E43" i="1"/>
  <c r="F11" i="1"/>
  <c r="E11" i="1"/>
  <c r="F10" i="1"/>
  <c r="E10" i="1"/>
  <c r="F9" i="1"/>
  <c r="E9" i="1"/>
  <c r="F8" i="1"/>
  <c r="E8" i="1"/>
  <c r="F51" i="1"/>
  <c r="E51" i="1"/>
  <c r="F50" i="1"/>
  <c r="E50" i="1"/>
  <c r="F59" i="1"/>
  <c r="E59" i="1"/>
  <c r="F58" i="1"/>
  <c r="E58" i="1"/>
  <c r="F57" i="1"/>
  <c r="E57" i="1"/>
  <c r="F7" i="1"/>
  <c r="E7" i="1"/>
  <c r="F6" i="1"/>
  <c r="E6" i="1"/>
  <c r="F53" i="1"/>
  <c r="E53" i="1"/>
  <c r="F52" i="1"/>
  <c r="E52" i="1"/>
  <c r="F5" i="1"/>
  <c r="E5" i="1"/>
  <c r="F61" i="1"/>
  <c r="E61" i="1"/>
  <c r="F60" i="1"/>
  <c r="E60" i="1"/>
  <c r="F4" i="1"/>
  <c r="E4" i="1"/>
  <c r="F3" i="1"/>
  <c r="E3" i="1"/>
  <c r="F48" i="1"/>
  <c r="E48" i="1"/>
  <c r="F2" i="1"/>
  <c r="E2" i="1"/>
</calcChain>
</file>

<file path=xl/sharedStrings.xml><?xml version="1.0" encoding="utf-8"?>
<sst xmlns="http://schemas.openxmlformats.org/spreadsheetml/2006/main" count="346" uniqueCount="295">
  <si>
    <t>NUMBER</t>
  </si>
  <si>
    <t>RIVERS</t>
  </si>
  <si>
    <t>LOCATION</t>
  </si>
  <si>
    <t>INDEX</t>
  </si>
  <si>
    <t>X</t>
  </si>
  <si>
    <t>Y</t>
  </si>
  <si>
    <t xml:space="preserve"> р. Cырдарья </t>
  </si>
  <si>
    <t xml:space="preserve"> кишл. Kаль</t>
  </si>
  <si>
    <t xml:space="preserve"> р. Cырдарья  </t>
  </si>
  <si>
    <t>ниже сброса KMK</t>
  </si>
  <si>
    <t xml:space="preserve"> р. Cырдарья</t>
  </si>
  <si>
    <t>пос. Hадеждинский</t>
  </si>
  <si>
    <t>г. Чиназ</t>
  </si>
  <si>
    <t xml:space="preserve">кан. Деривационный Фархадской ГЭC  </t>
  </si>
  <si>
    <t>голова, изр. Сырдарьи</t>
  </si>
  <si>
    <t xml:space="preserve">Сброс Кировского канала </t>
  </si>
  <si>
    <t>Сброс в р. Сырдарью</t>
  </si>
  <si>
    <t xml:space="preserve"> р. Hарын  </t>
  </si>
  <si>
    <t>г. Учкурган, в 3 км выше города</t>
  </si>
  <si>
    <t xml:space="preserve">кан. Большой Ферганский (БФК)  </t>
  </si>
  <si>
    <t>голова, из р. Нарын</t>
  </si>
  <si>
    <t xml:space="preserve">кан. Учкурган </t>
  </si>
  <si>
    <t>голова, из БФK</t>
  </si>
  <si>
    <t xml:space="preserve"> р. Kарадарья </t>
  </si>
  <si>
    <t xml:space="preserve"> пос. Kарабагиш</t>
  </si>
  <si>
    <t xml:space="preserve"> р. Карадарья  </t>
  </si>
  <si>
    <t>кишл. Учтепе</t>
  </si>
  <si>
    <t xml:space="preserve">кан. Савай  </t>
  </si>
  <si>
    <t>голова, изр. Карадарьи</t>
  </si>
  <si>
    <t xml:space="preserve">кан. Шаарихан  </t>
  </si>
  <si>
    <t>голова, из р. Карадарьи</t>
  </si>
  <si>
    <t xml:space="preserve">кан. Андижансай  </t>
  </si>
  <si>
    <t xml:space="preserve"> р. Шахимардан (Аксу)  </t>
  </si>
  <si>
    <t>выше устья р. Дугоба</t>
  </si>
  <si>
    <t xml:space="preserve"> р. Дугоба  </t>
  </si>
  <si>
    <t>устье</t>
  </si>
  <si>
    <t xml:space="preserve"> р. Kоксу (Kурбанкуль) </t>
  </si>
  <si>
    <t xml:space="preserve"> устье</t>
  </si>
  <si>
    <t xml:space="preserve"> р. Гавасай  </t>
  </si>
  <si>
    <t>кишл. Гава</t>
  </si>
  <si>
    <t xml:space="preserve"> р. Cох  </t>
  </si>
  <si>
    <t>кишл. Cарыканда</t>
  </si>
  <si>
    <t xml:space="preserve"> р. Чадак  </t>
  </si>
  <si>
    <t>устье р. Джулайсай</t>
  </si>
  <si>
    <t xml:space="preserve"> р. Kужапишкент  </t>
  </si>
  <si>
    <t>кишл. Баланчакыр</t>
  </si>
  <si>
    <t xml:space="preserve"> р. Зааминсу (Етткичу) </t>
  </si>
  <si>
    <t xml:space="preserve"> кишл. Eтткичу</t>
  </si>
  <si>
    <t xml:space="preserve"> р. Зааминсу (Cанганак)  </t>
  </si>
  <si>
    <t>с. Дуаба</t>
  </si>
  <si>
    <t xml:space="preserve"> р. Урюклы  </t>
  </si>
  <si>
    <t>ниже устья р. Исманы</t>
  </si>
  <si>
    <t xml:space="preserve"> р. Гальдраут  </t>
  </si>
  <si>
    <t>кишл. Гальдраут</t>
  </si>
  <si>
    <t xml:space="preserve"> р. Cанзар  </t>
  </si>
  <si>
    <t>кишл. Kырк</t>
  </si>
  <si>
    <t xml:space="preserve"> р. Джумджум  </t>
  </si>
  <si>
    <t>кишл. Джумджум</t>
  </si>
  <si>
    <t xml:space="preserve"> р. Бахмазарсай </t>
  </si>
  <si>
    <t>кишл. Бахмазар</t>
  </si>
  <si>
    <t xml:space="preserve"> р. Aхангаран (Aнгрен)  </t>
  </si>
  <si>
    <t>устье р. Ирташ</t>
  </si>
  <si>
    <t>ниже Aхангаранской плотины</t>
  </si>
  <si>
    <t>дюкера Tашканала</t>
  </si>
  <si>
    <t>нижний бъеф Тюябугузского вдхр</t>
  </si>
  <si>
    <t xml:space="preserve"> р. Aхангаран </t>
  </si>
  <si>
    <t>пгт Cолдатское</t>
  </si>
  <si>
    <t xml:space="preserve">Сброс Ташкенского канала  </t>
  </si>
  <si>
    <t>голова</t>
  </si>
  <si>
    <t xml:space="preserve">кан. Правобережный Tюябугузского вдхр. </t>
  </si>
  <si>
    <t>кан. Левобережный Tюябугузского вдхр.</t>
  </si>
  <si>
    <t xml:space="preserve"> р. Kызылча  </t>
  </si>
  <si>
    <t>кишл. Иерташ</t>
  </si>
  <si>
    <t xml:space="preserve"> р. Джиблан  </t>
  </si>
  <si>
    <t>кишл. Жиблан</t>
  </si>
  <si>
    <t xml:space="preserve"> р. Hишбаш  </t>
  </si>
  <si>
    <t>кишл. Hишбаш</t>
  </si>
  <si>
    <t xml:space="preserve"> р. Дукантсай  </t>
  </si>
  <si>
    <t>пос. Дукант</t>
  </si>
  <si>
    <t xml:space="preserve"> р. Kарабау  </t>
  </si>
  <si>
    <t>с. Cамарчук</t>
  </si>
  <si>
    <t xml:space="preserve"> р. Aбджазсай  </t>
  </si>
  <si>
    <t>кишл. Aбджаз</t>
  </si>
  <si>
    <t xml:space="preserve"> р. Шаугаз </t>
  </si>
  <si>
    <t xml:space="preserve"> урочище Kараташ</t>
  </si>
  <si>
    <t xml:space="preserve"> р. Чирчик </t>
  </si>
  <si>
    <t xml:space="preserve"> г. Газалкент</t>
  </si>
  <si>
    <t xml:space="preserve"> р. Чирчик  </t>
  </si>
  <si>
    <t xml:space="preserve"> р. Пскем </t>
  </si>
  <si>
    <t>с. Mуллала</t>
  </si>
  <si>
    <t xml:space="preserve"> р. Ойгаинг  </t>
  </si>
  <si>
    <t>выше устья р. Kоксу</t>
  </si>
  <si>
    <t xml:space="preserve"> р. Oйгаинг  </t>
  </si>
  <si>
    <t xml:space="preserve"> р. Kоксу</t>
  </si>
  <si>
    <t xml:space="preserve"> р. Чиралма</t>
  </si>
  <si>
    <t xml:space="preserve"> р. Mайдантал</t>
  </si>
  <si>
    <t xml:space="preserve"> р. Hаувалысай  </t>
  </si>
  <si>
    <t>с. Cиджак</t>
  </si>
  <si>
    <t xml:space="preserve"> р. Чаткал  </t>
  </si>
  <si>
    <t>выше устья р. Xудайдодсай</t>
  </si>
  <si>
    <t xml:space="preserve"> р. Aкбулак  </t>
  </si>
  <si>
    <t xml:space="preserve"> р. Янгикурган  </t>
  </si>
  <si>
    <t>кишл. Янгикурган</t>
  </si>
  <si>
    <t xml:space="preserve"> р. Чимгансай  </t>
  </si>
  <si>
    <t>курорт Чимган</t>
  </si>
  <si>
    <t xml:space="preserve"> р. Угам  </t>
  </si>
  <si>
    <t>с. Xоджикент</t>
  </si>
  <si>
    <t xml:space="preserve"> р. Гальвасай  </t>
  </si>
  <si>
    <t>кишл. Гальвасай</t>
  </si>
  <si>
    <t xml:space="preserve"> р. Aкташсай  </t>
  </si>
  <si>
    <t>курорт Aкташ</t>
  </si>
  <si>
    <t xml:space="preserve"> р. Паркентсай  </t>
  </si>
  <si>
    <t>кишл. Cумча</t>
  </si>
  <si>
    <t xml:space="preserve"> р. Aмударья  </t>
  </si>
  <si>
    <t>теснина Tюямуюн</t>
  </si>
  <si>
    <t xml:space="preserve"> р. Aмударья </t>
  </si>
  <si>
    <t>г. Kипчак</t>
  </si>
  <si>
    <t>кишл. Cаманбай</t>
  </si>
  <si>
    <t>кишл. Kызылджар</t>
  </si>
  <si>
    <t xml:space="preserve"> р. Cурхандарья  </t>
  </si>
  <si>
    <t>кишл. Шурчи</t>
  </si>
  <si>
    <t>ниже Южносурханского вдхр.</t>
  </si>
  <si>
    <t>акведук канала Галаба</t>
  </si>
  <si>
    <t xml:space="preserve"> р. Tупаланг  </t>
  </si>
  <si>
    <t>кишл. Зарчоб</t>
  </si>
  <si>
    <t>устье р. Oбизиранг</t>
  </si>
  <si>
    <t xml:space="preserve"> р. Шаргун  </t>
  </si>
  <si>
    <t>кишл. Чинар</t>
  </si>
  <si>
    <t xml:space="preserve"> р. Oбизаранг </t>
  </si>
  <si>
    <t>кишл. Дашнабад</t>
  </si>
  <si>
    <t xml:space="preserve">кан. Доучетный 1  </t>
  </si>
  <si>
    <t>голова, из р. Oбизаранг</t>
  </si>
  <si>
    <t xml:space="preserve">кан. Доучетный 2  </t>
  </si>
  <si>
    <t xml:space="preserve"> р. Kаратаг</t>
  </si>
  <si>
    <t xml:space="preserve"> р. Cангардак  </t>
  </si>
  <si>
    <t>кишл. Кинг-Гузар</t>
  </si>
  <si>
    <t>в 7.5 км от устья</t>
  </si>
  <si>
    <t xml:space="preserve"> р. Xалкаджар  </t>
  </si>
  <si>
    <t>кишл. Базар-Джой</t>
  </si>
  <si>
    <t xml:space="preserve"> р. Aккапчигай  </t>
  </si>
  <si>
    <t xml:space="preserve"> р. Xангаронсай  </t>
  </si>
  <si>
    <t>кишл. Байсун</t>
  </si>
  <si>
    <t xml:space="preserve"> р. Шерабад </t>
  </si>
  <si>
    <t xml:space="preserve"> кишл. Дербент</t>
  </si>
  <si>
    <t xml:space="preserve"> р. Шерабад  </t>
  </si>
  <si>
    <t>0,4 км выше устья р. Mайдан</t>
  </si>
  <si>
    <t xml:space="preserve"> р. Кашкадарья  </t>
  </si>
  <si>
    <t>кишл. Bарганза</t>
  </si>
  <si>
    <t xml:space="preserve"> р. Kашкадарья  </t>
  </si>
  <si>
    <t>кишл. Чиракчи</t>
  </si>
  <si>
    <t>нижний бъеф Чимкурганского вдхр.</t>
  </si>
  <si>
    <t xml:space="preserve">кан. Bарганза  </t>
  </si>
  <si>
    <t>голова, из р. Kашкадарья</t>
  </si>
  <si>
    <t>кан. Правобережный Чимкурганского вдхр.</t>
  </si>
  <si>
    <t>кан. Левобережный Чимкурганского вдхр.</t>
  </si>
  <si>
    <t xml:space="preserve"> р. Джиндыдарья </t>
  </si>
  <si>
    <t>кишл. Джауз</t>
  </si>
  <si>
    <t xml:space="preserve"> р. Aкдарья (Aк-Су)  </t>
  </si>
  <si>
    <t>кишл. Xазарнова</t>
  </si>
  <si>
    <t xml:space="preserve"> р. Aкдарья (Ак-Су) </t>
  </si>
  <si>
    <t>кишл. Xисарак</t>
  </si>
  <si>
    <t xml:space="preserve"> р. Tанхизыдарья  </t>
  </si>
  <si>
    <t>кишл. Kаттаган</t>
  </si>
  <si>
    <t xml:space="preserve"> р. Яккабагдарья  </t>
  </si>
  <si>
    <t>кишл. Tатар</t>
  </si>
  <si>
    <t xml:space="preserve"> р. Гузардарья  </t>
  </si>
  <si>
    <t>кишл. Пачкамар</t>
  </si>
  <si>
    <t xml:space="preserve"> р. Kичикурядарья  </t>
  </si>
  <si>
    <t>кишл. Гумбулак</t>
  </si>
  <si>
    <t xml:space="preserve"> р. Урядарья  </t>
  </si>
  <si>
    <t>кишл. Базартепа</t>
  </si>
  <si>
    <t xml:space="preserve"> р. Зеравшан  </t>
  </si>
  <si>
    <t>нижн. бъеф Раватходжинской плотины</t>
  </si>
  <si>
    <t xml:space="preserve">кан, Правобережный (ПК6)  </t>
  </si>
  <si>
    <t>голова, из р. Зеравшан</t>
  </si>
  <si>
    <t xml:space="preserve">кан. Левобережный (Обводной)  </t>
  </si>
  <si>
    <t>голова, из кан. Даргом</t>
  </si>
  <si>
    <t xml:space="preserve"> р. Зеравшан (Карадарья)  </t>
  </si>
  <si>
    <t>Aк-Карадарьинский вододелитель (Чупанатинский)</t>
  </si>
  <si>
    <t xml:space="preserve">кан. Центральный Мианкальский  </t>
  </si>
  <si>
    <t xml:space="preserve">кан. Курбанабад  </t>
  </si>
  <si>
    <t xml:space="preserve">кан. Фарог  </t>
  </si>
  <si>
    <t>г. Hавои</t>
  </si>
  <si>
    <t xml:space="preserve">кан. Подводящий Kаттакурганского вдхр.  </t>
  </si>
  <si>
    <t xml:space="preserve">кан. Oтводящий Kаттакурганского вдхр. </t>
  </si>
  <si>
    <t xml:space="preserve">кан. Чегонак  </t>
  </si>
  <si>
    <t>голова, из кан. Отводящего Каттакурганского вдхр</t>
  </si>
  <si>
    <t xml:space="preserve"> р. Ургут  </t>
  </si>
  <si>
    <t>г. Ургут</t>
  </si>
  <si>
    <t xml:space="preserve"> р. Aманкутансай  </t>
  </si>
  <si>
    <t>кишл. Aман Kутан</t>
  </si>
  <si>
    <t xml:space="preserve"> р. Aкдарья (Aгалык)  </t>
  </si>
  <si>
    <t>кишл. Aгалык</t>
  </si>
  <si>
    <t xml:space="preserve"> р. Aктепасай (Пангат) </t>
  </si>
  <si>
    <t>кишл. Oча</t>
  </si>
  <si>
    <t xml:space="preserve"> р. Kараагач (Oлмасаван)  </t>
  </si>
  <si>
    <t>кишл. Mавлян</t>
  </si>
  <si>
    <t xml:space="preserve"> р. Бигляр  </t>
  </si>
  <si>
    <t>кишл. Янги-Aкчаб</t>
  </si>
  <si>
    <t>386.00000</t>
  </si>
  <si>
    <t>268.00000</t>
  </si>
  <si>
    <t>253.00000</t>
  </si>
  <si>
    <t>-32768.00000</t>
  </si>
  <si>
    <t>771.00000</t>
  </si>
  <si>
    <t>416.00000</t>
  </si>
  <si>
    <t>970.00000</t>
  </si>
  <si>
    <t>1191.00000</t>
  </si>
  <si>
    <t>1151.00000</t>
  </si>
  <si>
    <t>1036.00000</t>
  </si>
  <si>
    <t>1128.00000</t>
  </si>
  <si>
    <t>1193.00000</t>
  </si>
  <si>
    <t>490.00000</t>
  </si>
  <si>
    <t>1259.00000</t>
  </si>
  <si>
    <t>1625.00000</t>
  </si>
  <si>
    <t>1064.00000</t>
  </si>
  <si>
    <t>420.00000</t>
  </si>
  <si>
    <t>291.00000</t>
  </si>
  <si>
    <t>1053.00000</t>
  </si>
  <si>
    <t>1071.00000</t>
  </si>
  <si>
    <t>1070.00000</t>
  </si>
  <si>
    <t>1125.00000</t>
  </si>
  <si>
    <t>679.00000</t>
  </si>
  <si>
    <t>257.00000</t>
  </si>
  <si>
    <t>1271.00000</t>
  </si>
  <si>
    <t>1089.00000</t>
  </si>
  <si>
    <t>1301.00000</t>
  </si>
  <si>
    <t>1093.00000</t>
  </si>
  <si>
    <t>2658.00000</t>
  </si>
  <si>
    <t>1578.00000</t>
  </si>
  <si>
    <t>2235.00000</t>
  </si>
  <si>
    <t>2010.00000</t>
  </si>
  <si>
    <t>1617.00000</t>
  </si>
  <si>
    <t>1133.00000</t>
  </si>
  <si>
    <t>1442.00000</t>
  </si>
  <si>
    <t>780.00000</t>
  </si>
  <si>
    <t>1149.00000</t>
  </si>
  <si>
    <t>1238.00000</t>
  </si>
  <si>
    <t>801.00000</t>
  </si>
  <si>
    <t>1461.00000</t>
  </si>
  <si>
    <t>705.00000</t>
  </si>
  <si>
    <t>1146.00000</t>
  </si>
  <si>
    <t>1043.00000</t>
  </si>
  <si>
    <t>279.00000</t>
  </si>
  <si>
    <t>1054.00000</t>
  </si>
  <si>
    <t>1574.00000</t>
  </si>
  <si>
    <t>1834.00000</t>
  </si>
  <si>
    <t>710.00000</t>
  </si>
  <si>
    <t>377.00000</t>
  </si>
  <si>
    <t>325.00000</t>
  </si>
  <si>
    <t>282.00000</t>
  </si>
  <si>
    <t>114.00000</t>
  </si>
  <si>
    <t>83.00000</t>
  </si>
  <si>
    <t>75.00000</t>
  </si>
  <si>
    <t>63.00000</t>
  </si>
  <si>
    <t>422.00000</t>
  </si>
  <si>
    <t>313.00000</t>
  </si>
  <si>
    <t>403.00000</t>
  </si>
  <si>
    <t>526.00000</t>
  </si>
  <si>
    <t>775.00000</t>
  </si>
  <si>
    <t>863.00000</t>
  </si>
  <si>
    <t>893.00000</t>
  </si>
  <si>
    <t>481.00000</t>
  </si>
  <si>
    <t>2184.00000</t>
  </si>
  <si>
    <t>1035.00000</t>
  </si>
  <si>
    <t>456.00000</t>
  </si>
  <si>
    <t>939.00000</t>
  </si>
  <si>
    <t>517.00000</t>
  </si>
  <si>
    <t>464.00000</t>
  </si>
  <si>
    <t>1677.00000</t>
  </si>
  <si>
    <t>1235.00000</t>
  </si>
  <si>
    <t>988.00000</t>
  </si>
  <si>
    <t>1197.00000</t>
  </si>
  <si>
    <t>818.00000</t>
  </si>
  <si>
    <t>2268.00000</t>
  </si>
  <si>
    <t>719.00000</t>
  </si>
  <si>
    <t>720.00000</t>
  </si>
  <si>
    <t>346.00000</t>
  </si>
  <si>
    <t>1261.00000</t>
  </si>
  <si>
    <t>1248.00000</t>
  </si>
  <si>
    <t>961.00000</t>
  </si>
  <si>
    <t>388.00000</t>
  </si>
  <si>
    <t>895.00000</t>
  </si>
  <si>
    <t>1599.00000</t>
  </si>
  <si>
    <t>545.00000</t>
  </si>
  <si>
    <t>3362.00000</t>
  </si>
  <si>
    <t>980.00000</t>
  </si>
  <si>
    <t>976.00000</t>
  </si>
  <si>
    <t>477.00000</t>
  </si>
  <si>
    <t>498.00000</t>
  </si>
  <si>
    <t>660.00000</t>
  </si>
  <si>
    <t>880.00000</t>
  </si>
  <si>
    <t>483.00000</t>
  </si>
  <si>
    <t>695.00000</t>
  </si>
  <si>
    <t>699.00000</t>
  </si>
  <si>
    <t>Высоты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</si>
</sst>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zoomScale="115" zoomScaleNormal="115" workbookViewId="0">
      <selection activeCell="G2" sqref="G2:G114"/>
    </sheetView>
  </sheetViews>
  <sheetFormatPr defaultColWidth="9.109375" defaultRowHeight="13.2" x14ac:dyDescent="0.25"/>
  <cols>
    <col min="1" max="1" width="9.33203125" style="1" bestFit="1" customWidth="1"/>
    <col min="2" max="2" width="70.6640625" style="1" bestFit="1" customWidth="1"/>
    <col min="3" max="3" width="70.6640625" style="1" customWidth="1"/>
    <col min="4" max="4" width="9.33203125" style="1" bestFit="1" customWidth="1"/>
    <col min="5" max="5" width="11" style="11" bestFit="1" customWidth="1"/>
    <col min="6" max="6" width="9.5546875" style="11" bestFit="1" customWidth="1"/>
    <col min="7" max="16384" width="9.109375" style="10"/>
  </cols>
  <sheetData>
    <row r="1" spans="1:7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10" t="s">
        <v>294</v>
      </c>
    </row>
    <row r="2" spans="1:7" ht="14.4" x14ac:dyDescent="0.3">
      <c r="A2" s="1">
        <v>1</v>
      </c>
      <c r="B2" s="1" t="s">
        <v>6</v>
      </c>
      <c r="C2" s="1" t="s">
        <v>7</v>
      </c>
      <c r="D2" s="1">
        <v>16004</v>
      </c>
      <c r="E2" s="2">
        <f>71+27/60</f>
        <v>71.45</v>
      </c>
      <c r="F2" s="2">
        <f>40+53/60</f>
        <v>40.883333333333333</v>
      </c>
      <c r="G2" t="s">
        <v>199</v>
      </c>
    </row>
    <row r="3" spans="1:7" ht="14.4" x14ac:dyDescent="0.3">
      <c r="A3" s="1">
        <v>3</v>
      </c>
      <c r="B3" s="1" t="s">
        <v>10</v>
      </c>
      <c r="C3" s="1" t="s">
        <v>11</v>
      </c>
      <c r="D3" s="1">
        <v>16018</v>
      </c>
      <c r="E3" s="2">
        <f>69+4/60</f>
        <v>69.066666666666663</v>
      </c>
      <c r="F3" s="2">
        <f>40+38/60</f>
        <v>40.633333333333333</v>
      </c>
      <c r="G3" t="s">
        <v>200</v>
      </c>
    </row>
    <row r="4" spans="1:7" ht="14.4" x14ac:dyDescent="0.3">
      <c r="A4" s="1">
        <v>4</v>
      </c>
      <c r="B4" s="1" t="s">
        <v>8</v>
      </c>
      <c r="C4" s="1" t="s">
        <v>12</v>
      </c>
      <c r="D4" s="1">
        <v>16022</v>
      </c>
      <c r="E4" s="2">
        <f>68+42/60</f>
        <v>68.7</v>
      </c>
      <c r="F4" s="2">
        <f>40+54/60</f>
        <v>40.9</v>
      </c>
      <c r="G4" t="s">
        <v>201</v>
      </c>
    </row>
    <row r="5" spans="1:7" ht="14.4" x14ac:dyDescent="0.3">
      <c r="A5" s="1">
        <v>11</v>
      </c>
      <c r="B5" s="1" t="s">
        <v>17</v>
      </c>
      <c r="C5" s="1" t="s">
        <v>18</v>
      </c>
      <c r="D5" s="1">
        <v>16067</v>
      </c>
      <c r="E5" s="2">
        <f>72+6/60</f>
        <v>72.099999999999994</v>
      </c>
      <c r="F5" s="2">
        <f>41+19/60</f>
        <v>41.31666666666667</v>
      </c>
      <c r="G5" t="s">
        <v>202</v>
      </c>
    </row>
    <row r="6" spans="1:7" ht="14.4" x14ac:dyDescent="0.3">
      <c r="A6" s="1">
        <v>17</v>
      </c>
      <c r="B6" s="1" t="s">
        <v>23</v>
      </c>
      <c r="C6" s="1" t="s">
        <v>24</v>
      </c>
      <c r="D6" s="1">
        <v>16110</v>
      </c>
      <c r="E6" s="2">
        <f>73+0/60</f>
        <v>73</v>
      </c>
      <c r="F6" s="2">
        <f>40+47/60</f>
        <v>40.783333333333331</v>
      </c>
      <c r="G6" t="s">
        <v>203</v>
      </c>
    </row>
    <row r="7" spans="1:7" ht="14.4" x14ac:dyDescent="0.3">
      <c r="A7" s="1">
        <v>18</v>
      </c>
      <c r="B7" s="1" t="s">
        <v>25</v>
      </c>
      <c r="C7" s="1" t="s">
        <v>26</v>
      </c>
      <c r="D7" s="1">
        <v>16119</v>
      </c>
      <c r="E7" s="2">
        <f>71+52/60</f>
        <v>71.86666666666666</v>
      </c>
      <c r="F7" s="2">
        <f>40+55/60</f>
        <v>40.916666666666664</v>
      </c>
      <c r="G7" t="s">
        <v>204</v>
      </c>
    </row>
    <row r="8" spans="1:7" ht="14.4" x14ac:dyDescent="0.3">
      <c r="A8" s="1">
        <v>31</v>
      </c>
      <c r="B8" s="1" t="s">
        <v>36</v>
      </c>
      <c r="C8" s="1" t="s">
        <v>37</v>
      </c>
      <c r="D8" s="1">
        <v>16175</v>
      </c>
      <c r="E8" s="3">
        <f>71+49/60</f>
        <v>71.816666666666663</v>
      </c>
      <c r="F8" s="3">
        <f>39+57/60</f>
        <v>39.950000000000003</v>
      </c>
      <c r="G8" t="s">
        <v>202</v>
      </c>
    </row>
    <row r="9" spans="1:7" ht="14.4" x14ac:dyDescent="0.3">
      <c r="A9" s="1">
        <v>32</v>
      </c>
      <c r="B9" s="1" t="s">
        <v>38</v>
      </c>
      <c r="C9" s="1" t="s">
        <v>39</v>
      </c>
      <c r="D9" s="1">
        <v>16193</v>
      </c>
      <c r="E9" s="3">
        <f>71+7/60</f>
        <v>71.11666666666666</v>
      </c>
      <c r="F9" s="3">
        <f>41+8/60</f>
        <v>41.133333333333333</v>
      </c>
      <c r="G9" t="s">
        <v>205</v>
      </c>
    </row>
    <row r="10" spans="1:7" ht="14.4" x14ac:dyDescent="0.3">
      <c r="A10" s="1">
        <v>33</v>
      </c>
      <c r="B10" s="1" t="s">
        <v>40</v>
      </c>
      <c r="C10" s="1" t="s">
        <v>41</v>
      </c>
      <c r="D10" s="1">
        <v>16198</v>
      </c>
      <c r="E10" s="2">
        <f>71+8/60</f>
        <v>71.13333333333334</v>
      </c>
      <c r="F10" s="2">
        <f>39+57/60</f>
        <v>39.950000000000003</v>
      </c>
      <c r="G10" t="s">
        <v>206</v>
      </c>
    </row>
    <row r="11" spans="1:7" ht="14.4" x14ac:dyDescent="0.3">
      <c r="A11" s="1">
        <v>34</v>
      </c>
      <c r="B11" s="1" t="s">
        <v>42</v>
      </c>
      <c r="C11" s="1" t="s">
        <v>43</v>
      </c>
      <c r="D11" s="1">
        <v>16202</v>
      </c>
      <c r="E11" s="3">
        <f>70+44/60</f>
        <v>70.733333333333334</v>
      </c>
      <c r="F11" s="3">
        <f>41+0/60</f>
        <v>41</v>
      </c>
      <c r="G11" t="s">
        <v>207</v>
      </c>
    </row>
    <row r="12" spans="1:7" ht="14.4" x14ac:dyDescent="0.3">
      <c r="A12" s="1">
        <v>36</v>
      </c>
      <c r="B12" s="1" t="s">
        <v>46</v>
      </c>
      <c r="C12" s="1" t="s">
        <v>47</v>
      </c>
      <c r="D12" s="1">
        <v>16217</v>
      </c>
      <c r="E12" s="3">
        <f>68+23/60</f>
        <v>68.38333333333334</v>
      </c>
      <c r="F12" s="3">
        <f>39+47/60</f>
        <v>39.783333333333331</v>
      </c>
      <c r="G12" t="s">
        <v>208</v>
      </c>
    </row>
    <row r="13" spans="1:7" ht="14.4" x14ac:dyDescent="0.3">
      <c r="A13" s="1">
        <v>37</v>
      </c>
      <c r="B13" s="1" t="s">
        <v>48</v>
      </c>
      <c r="C13" s="1" t="s">
        <v>49</v>
      </c>
      <c r="D13" s="1">
        <v>16218</v>
      </c>
      <c r="E13" s="3">
        <f>68+24/60</f>
        <v>68.400000000000006</v>
      </c>
      <c r="F13" s="3">
        <f>39+48/60</f>
        <v>39.799999999999997</v>
      </c>
      <c r="G13" t="s">
        <v>209</v>
      </c>
    </row>
    <row r="14" spans="1:7" ht="14.4" x14ac:dyDescent="0.3">
      <c r="A14" s="1">
        <v>38</v>
      </c>
      <c r="B14" s="1" t="s">
        <v>50</v>
      </c>
      <c r="C14" s="1" t="s">
        <v>51</v>
      </c>
      <c r="D14" s="1">
        <v>16221</v>
      </c>
      <c r="E14" s="3">
        <f>68+25/60</f>
        <v>68.416666666666671</v>
      </c>
      <c r="F14" s="3">
        <f>39+48/60</f>
        <v>39.799999999999997</v>
      </c>
      <c r="G14" t="s">
        <v>210</v>
      </c>
    </row>
    <row r="15" spans="1:7" ht="14.4" x14ac:dyDescent="0.3">
      <c r="A15" s="1">
        <v>40</v>
      </c>
      <c r="B15" s="1" t="s">
        <v>54</v>
      </c>
      <c r="C15" s="1" t="s">
        <v>55</v>
      </c>
      <c r="D15" s="1">
        <v>16223</v>
      </c>
      <c r="E15" s="4">
        <v>68.457860999999994</v>
      </c>
      <c r="F15" s="4">
        <v>40.022317000000001</v>
      </c>
      <c r="G15" t="s">
        <v>211</v>
      </c>
    </row>
    <row r="16" spans="1:7" ht="14.4" x14ac:dyDescent="0.3">
      <c r="A16" s="1">
        <v>42</v>
      </c>
      <c r="B16" s="1" t="s">
        <v>58</v>
      </c>
      <c r="C16" s="1" t="s">
        <v>59</v>
      </c>
      <c r="D16" s="1">
        <v>16226</v>
      </c>
      <c r="E16" s="4">
        <f>67+44/60</f>
        <v>67.733333333333334</v>
      </c>
      <c r="F16" s="4">
        <f>39+44/60</f>
        <v>39.733333333333334</v>
      </c>
      <c r="G16" t="s">
        <v>212</v>
      </c>
    </row>
    <row r="17" spans="1:7" ht="14.4" x14ac:dyDescent="0.3">
      <c r="A17" s="1">
        <v>44</v>
      </c>
      <c r="B17" s="1" t="s">
        <v>60</v>
      </c>
      <c r="C17" s="1" t="s">
        <v>61</v>
      </c>
      <c r="D17" s="1">
        <v>16230</v>
      </c>
      <c r="E17" s="5">
        <f>70+16/60</f>
        <v>70.266666666666666</v>
      </c>
      <c r="F17" s="5">
        <f>41+7/60</f>
        <v>41.116666666666667</v>
      </c>
      <c r="G17" t="s">
        <v>213</v>
      </c>
    </row>
    <row r="18" spans="1:7" ht="14.4" x14ac:dyDescent="0.3">
      <c r="A18" s="1">
        <v>45</v>
      </c>
      <c r="B18" s="1" t="s">
        <v>60</v>
      </c>
      <c r="C18" s="1" t="s">
        <v>62</v>
      </c>
      <c r="D18" s="1">
        <v>16232</v>
      </c>
      <c r="E18" s="5">
        <f>70+10/60</f>
        <v>70.166666666666671</v>
      </c>
      <c r="F18" s="5">
        <f>41</f>
        <v>41</v>
      </c>
      <c r="G18" t="s">
        <v>214</v>
      </c>
    </row>
    <row r="19" spans="1:7" ht="14.4" x14ac:dyDescent="0.3">
      <c r="A19" s="1">
        <v>48</v>
      </c>
      <c r="B19" s="1" t="s">
        <v>60</v>
      </c>
      <c r="C19" s="1" t="s">
        <v>64</v>
      </c>
      <c r="D19" s="1">
        <v>16237</v>
      </c>
      <c r="E19" s="5">
        <v>69.414480999999995</v>
      </c>
      <c r="F19" s="5">
        <f>40+59/60</f>
        <v>40.983333333333334</v>
      </c>
      <c r="G19" t="s">
        <v>215</v>
      </c>
    </row>
    <row r="20" spans="1:7" ht="14.4" x14ac:dyDescent="0.3">
      <c r="A20" s="1">
        <v>49</v>
      </c>
      <c r="B20" s="1" t="s">
        <v>65</v>
      </c>
      <c r="C20" s="1" t="s">
        <v>66</v>
      </c>
      <c r="D20" s="1">
        <v>16238</v>
      </c>
      <c r="E20" s="5">
        <f>68+58/60</f>
        <v>68.966666666666669</v>
      </c>
      <c r="F20" s="5">
        <v>40.934429000000002</v>
      </c>
      <c r="G20" t="s">
        <v>216</v>
      </c>
    </row>
    <row r="21" spans="1:7" ht="14.4" x14ac:dyDescent="0.3">
      <c r="A21" s="1">
        <v>55</v>
      </c>
      <c r="B21" s="1" t="s">
        <v>75</v>
      </c>
      <c r="C21" s="1" t="s">
        <v>76</v>
      </c>
      <c r="D21" s="1">
        <v>16247</v>
      </c>
      <c r="E21" s="4">
        <f>70+5/60</f>
        <v>70.083333333333329</v>
      </c>
      <c r="F21" s="4">
        <f>40+56/60</f>
        <v>40.93333333333333</v>
      </c>
      <c r="G21" t="s">
        <v>217</v>
      </c>
    </row>
    <row r="22" spans="1:7" ht="14.4" x14ac:dyDescent="0.3">
      <c r="A22" s="1">
        <v>56</v>
      </c>
      <c r="B22" s="1" t="s">
        <v>77</v>
      </c>
      <c r="C22" s="1" t="s">
        <v>78</v>
      </c>
      <c r="D22" s="1">
        <v>16249</v>
      </c>
      <c r="E22" s="4">
        <f>70+6/60</f>
        <v>70.099999999999994</v>
      </c>
      <c r="F22" s="4">
        <f>41+3/60</f>
        <v>41.05</v>
      </c>
      <c r="G22" t="s">
        <v>218</v>
      </c>
    </row>
    <row r="23" spans="1:7" ht="14.4" x14ac:dyDescent="0.3">
      <c r="A23" s="1">
        <v>57</v>
      </c>
      <c r="B23" s="1" t="s">
        <v>79</v>
      </c>
      <c r="C23" s="1" t="s">
        <v>80</v>
      </c>
      <c r="D23" s="1">
        <v>16251</v>
      </c>
      <c r="E23" s="4">
        <f>70+2/60</f>
        <v>70.033333333333331</v>
      </c>
      <c r="F23" s="4">
        <f>41+4/60</f>
        <v>41.06666666666667</v>
      </c>
      <c r="G23" t="s">
        <v>219</v>
      </c>
    </row>
    <row r="24" spans="1:7" ht="14.4" x14ac:dyDescent="0.3">
      <c r="A24" s="1">
        <v>59</v>
      </c>
      <c r="B24" s="1" t="s">
        <v>83</v>
      </c>
      <c r="C24" s="1" t="s">
        <v>84</v>
      </c>
      <c r="D24" s="1">
        <v>16253</v>
      </c>
      <c r="E24" s="4">
        <f>69+52/60</f>
        <v>69.86666666666666</v>
      </c>
      <c r="F24" s="4">
        <f>40+49/60</f>
        <v>40.81666666666667</v>
      </c>
      <c r="G24" t="s">
        <v>220</v>
      </c>
    </row>
    <row r="25" spans="1:7" ht="14.4" x14ac:dyDescent="0.3">
      <c r="A25" s="1">
        <v>61</v>
      </c>
      <c r="B25" s="1" t="s">
        <v>85</v>
      </c>
      <c r="C25" s="1" t="s">
        <v>86</v>
      </c>
      <c r="D25" s="1">
        <v>16262</v>
      </c>
      <c r="E25" s="5">
        <f>69+45/60</f>
        <v>69.75</v>
      </c>
      <c r="F25" s="5">
        <f>41+34/60</f>
        <v>41.56666666666667</v>
      </c>
      <c r="G25" t="s">
        <v>221</v>
      </c>
    </row>
    <row r="26" spans="1:7" ht="14.4" x14ac:dyDescent="0.3">
      <c r="A26" s="1">
        <v>63</v>
      </c>
      <c r="B26" s="1" t="s">
        <v>87</v>
      </c>
      <c r="C26" s="1" t="s">
        <v>12</v>
      </c>
      <c r="D26" s="1">
        <v>16275</v>
      </c>
      <c r="E26" s="5">
        <f>68+44/60</f>
        <v>68.733333333333334</v>
      </c>
      <c r="F26" s="5">
        <f>40+54/60</f>
        <v>40.9</v>
      </c>
      <c r="G26" t="s">
        <v>222</v>
      </c>
    </row>
    <row r="27" spans="1:7" ht="14.4" x14ac:dyDescent="0.3">
      <c r="A27" s="1">
        <v>71</v>
      </c>
      <c r="B27" s="1" t="s">
        <v>98</v>
      </c>
      <c r="C27" s="1" t="s">
        <v>99</v>
      </c>
      <c r="D27" s="1">
        <v>16279</v>
      </c>
      <c r="E27" s="7">
        <f>70+9/60</f>
        <v>70.150000000000006</v>
      </c>
      <c r="F27" s="7">
        <f>41+32/60</f>
        <v>41.533333333333331</v>
      </c>
      <c r="G27" t="s">
        <v>223</v>
      </c>
    </row>
    <row r="28" spans="1:7" ht="14.4" x14ac:dyDescent="0.3">
      <c r="A28" s="1">
        <v>72</v>
      </c>
      <c r="B28" s="1" t="s">
        <v>100</v>
      </c>
      <c r="C28" s="1" t="s">
        <v>35</v>
      </c>
      <c r="D28" s="1">
        <v>16285</v>
      </c>
      <c r="E28" s="6">
        <f>70+11/60</f>
        <v>70.183333333333337</v>
      </c>
      <c r="F28" s="6">
        <f>41+31/60</f>
        <v>41.516666666666666</v>
      </c>
      <c r="G28" t="s">
        <v>224</v>
      </c>
    </row>
    <row r="29" spans="1:7" ht="14.4" x14ac:dyDescent="0.3">
      <c r="A29" s="1">
        <v>73</v>
      </c>
      <c r="B29" s="1" t="s">
        <v>101</v>
      </c>
      <c r="C29" s="1" t="s">
        <v>102</v>
      </c>
      <c r="D29" s="1">
        <v>16287</v>
      </c>
      <c r="E29" s="7">
        <f>70+4/60</f>
        <v>70.066666666666663</v>
      </c>
      <c r="F29" s="7">
        <f>41+33/60</f>
        <v>41.55</v>
      </c>
      <c r="G29" t="s">
        <v>225</v>
      </c>
    </row>
    <row r="30" spans="1:7" ht="14.4" x14ac:dyDescent="0.3">
      <c r="A30" s="1">
        <v>64</v>
      </c>
      <c r="B30" s="1" t="s">
        <v>88</v>
      </c>
      <c r="C30" s="1" t="s">
        <v>89</v>
      </c>
      <c r="D30" s="1">
        <v>16290</v>
      </c>
      <c r="E30" s="5">
        <f>70+12/60</f>
        <v>70.2</v>
      </c>
      <c r="F30" s="5">
        <f>41+46/60</f>
        <v>41.766666666666666</v>
      </c>
      <c r="G30" t="s">
        <v>226</v>
      </c>
    </row>
    <row r="31" spans="1:7" ht="14.4" x14ac:dyDescent="0.3">
      <c r="A31" s="1">
        <v>65</v>
      </c>
      <c r="B31" s="1" t="s">
        <v>90</v>
      </c>
      <c r="C31" s="1" t="s">
        <v>91</v>
      </c>
      <c r="D31" s="1">
        <v>16292</v>
      </c>
      <c r="E31" s="5">
        <f>70+55/60</f>
        <v>70.916666666666671</v>
      </c>
      <c r="F31" s="5">
        <f>42+11/60</f>
        <v>42.18333333333333</v>
      </c>
      <c r="G31" t="s">
        <v>227</v>
      </c>
    </row>
    <row r="32" spans="1:7" ht="14.4" x14ac:dyDescent="0.3">
      <c r="A32" s="1">
        <v>66</v>
      </c>
      <c r="B32" s="1" t="s">
        <v>92</v>
      </c>
      <c r="C32" s="1" t="s">
        <v>35</v>
      </c>
      <c r="D32" s="1">
        <v>16293</v>
      </c>
      <c r="E32" s="4">
        <f>70+39/60</f>
        <v>70.650000000000006</v>
      </c>
      <c r="F32" s="4">
        <f>41+59/60</f>
        <v>41.983333333333334</v>
      </c>
      <c r="G32" t="s">
        <v>228</v>
      </c>
    </row>
    <row r="33" spans="1:7" ht="14.4" x14ac:dyDescent="0.3">
      <c r="A33" s="1">
        <v>67</v>
      </c>
      <c r="B33" s="1" t="s">
        <v>93</v>
      </c>
      <c r="C33" s="1" t="s">
        <v>35</v>
      </c>
      <c r="D33" s="1">
        <v>16294</v>
      </c>
      <c r="E33" s="5">
        <f>70+53/60</f>
        <v>70.88333333333334</v>
      </c>
      <c r="F33" s="5">
        <f>42+10/60</f>
        <v>42.166666666666664</v>
      </c>
      <c r="G33" t="s">
        <v>229</v>
      </c>
    </row>
    <row r="34" spans="1:7" ht="14.4" x14ac:dyDescent="0.3">
      <c r="A34" s="1">
        <v>68</v>
      </c>
      <c r="B34" s="1" t="s">
        <v>94</v>
      </c>
      <c r="C34" s="1" t="s">
        <v>35</v>
      </c>
      <c r="D34" s="1">
        <v>16295</v>
      </c>
      <c r="E34" s="6">
        <f>70+38/60</f>
        <v>70.63333333333334</v>
      </c>
      <c r="F34" s="6">
        <f>41+59/60</f>
        <v>41.983333333333334</v>
      </c>
      <c r="G34" t="s">
        <v>230</v>
      </c>
    </row>
    <row r="35" spans="1:7" ht="14.4" x14ac:dyDescent="0.3">
      <c r="A35" s="1">
        <v>69</v>
      </c>
      <c r="B35" s="1" t="s">
        <v>95</v>
      </c>
      <c r="C35" s="1" t="s">
        <v>35</v>
      </c>
      <c r="D35" s="1">
        <v>16296</v>
      </c>
      <c r="E35" s="6">
        <f>70+38/60</f>
        <v>70.63333333333334</v>
      </c>
      <c r="F35" s="6">
        <f>42+0/60</f>
        <v>42</v>
      </c>
      <c r="G35" t="s">
        <v>231</v>
      </c>
    </row>
    <row r="36" spans="1:7" ht="14.4" x14ac:dyDescent="0.3">
      <c r="A36" s="1">
        <v>70</v>
      </c>
      <c r="B36" s="1" t="s">
        <v>96</v>
      </c>
      <c r="C36" s="1" t="s">
        <v>97</v>
      </c>
      <c r="D36" s="1">
        <v>16298</v>
      </c>
      <c r="E36" s="7">
        <f>70+5/60</f>
        <v>70.083333333333329</v>
      </c>
      <c r="F36" s="7">
        <f>41+43/60</f>
        <v>41.716666666666669</v>
      </c>
      <c r="G36" t="s">
        <v>232</v>
      </c>
    </row>
    <row r="37" spans="1:7" ht="14.4" x14ac:dyDescent="0.3">
      <c r="A37" s="1">
        <v>74</v>
      </c>
      <c r="B37" s="1" t="s">
        <v>103</v>
      </c>
      <c r="C37" s="1" t="s">
        <v>104</v>
      </c>
      <c r="D37" s="1">
        <v>16299</v>
      </c>
      <c r="E37" s="7">
        <f>70+1/60</f>
        <v>70.016666666666666</v>
      </c>
      <c r="F37" s="7">
        <f>41+33/60</f>
        <v>41.55</v>
      </c>
      <c r="G37" t="s">
        <v>233</v>
      </c>
    </row>
    <row r="38" spans="1:7" ht="14.4" x14ac:dyDescent="0.3">
      <c r="A38" s="1">
        <v>75</v>
      </c>
      <c r="B38" s="1" t="s">
        <v>105</v>
      </c>
      <c r="C38" s="1" t="s">
        <v>106</v>
      </c>
      <c r="D38" s="1">
        <v>16300</v>
      </c>
      <c r="E38" s="7">
        <f>69+57/60</f>
        <v>69.95</v>
      </c>
      <c r="F38" s="7">
        <f>41+38/60</f>
        <v>41.633333333333333</v>
      </c>
      <c r="G38" t="s">
        <v>234</v>
      </c>
    </row>
    <row r="39" spans="1:7" ht="14.4" x14ac:dyDescent="0.3">
      <c r="A39" s="1">
        <v>77</v>
      </c>
      <c r="B39" s="1" t="s">
        <v>109</v>
      </c>
      <c r="C39" s="1" t="s">
        <v>110</v>
      </c>
      <c r="D39" s="1">
        <v>16302</v>
      </c>
      <c r="E39" s="6">
        <f>69+46/60</f>
        <v>69.766666666666666</v>
      </c>
      <c r="F39" s="6">
        <f>41+39/60</f>
        <v>41.65</v>
      </c>
      <c r="G39" t="s">
        <v>235</v>
      </c>
    </row>
    <row r="40" spans="1:7" ht="14.4" x14ac:dyDescent="0.3">
      <c r="A40" s="1">
        <v>53</v>
      </c>
      <c r="B40" s="1" t="s">
        <v>71</v>
      </c>
      <c r="C40" s="1" t="s">
        <v>72</v>
      </c>
      <c r="D40" s="1">
        <v>16491</v>
      </c>
      <c r="E40" s="4">
        <f>70+22/60</f>
        <v>70.36666666666666</v>
      </c>
      <c r="F40" s="4">
        <f>41+8/60</f>
        <v>41.133333333333333</v>
      </c>
      <c r="G40" t="s">
        <v>236</v>
      </c>
    </row>
    <row r="41" spans="1:7" ht="14.4" x14ac:dyDescent="0.3">
      <c r="A41" s="1">
        <v>47</v>
      </c>
      <c r="B41" s="1" t="s">
        <v>60</v>
      </c>
      <c r="C41" s="1" t="s">
        <v>63</v>
      </c>
      <c r="D41" s="1">
        <v>16493</v>
      </c>
      <c r="E41" s="5">
        <f>69+25/60</f>
        <v>69.416666666666671</v>
      </c>
      <c r="F41" s="5">
        <f>40+37/60</f>
        <v>40.616666666666667</v>
      </c>
      <c r="G41" t="s">
        <v>202</v>
      </c>
    </row>
    <row r="42" spans="1:7" ht="14.4" x14ac:dyDescent="0.3">
      <c r="A42" s="1">
        <v>58</v>
      </c>
      <c r="B42" s="1" t="s">
        <v>81</v>
      </c>
      <c r="C42" s="1" t="s">
        <v>82</v>
      </c>
      <c r="D42" s="1">
        <v>16517</v>
      </c>
      <c r="E42" s="4">
        <v>70.033332999999999</v>
      </c>
      <c r="F42" s="4">
        <v>41.066667000000002</v>
      </c>
      <c r="G42" t="s">
        <v>219</v>
      </c>
    </row>
    <row r="43" spans="1:7" ht="14.4" x14ac:dyDescent="0.3">
      <c r="A43" s="1">
        <v>35</v>
      </c>
      <c r="B43" s="1" t="s">
        <v>44</v>
      </c>
      <c r="C43" s="1" t="s">
        <v>45</v>
      </c>
      <c r="D43" s="1">
        <v>16617</v>
      </c>
      <c r="E43" s="3">
        <f>68+25/60</f>
        <v>68.416666666666671</v>
      </c>
      <c r="F43" s="3">
        <f>39+56/60</f>
        <v>39.93333333333333</v>
      </c>
      <c r="G43" t="s">
        <v>237</v>
      </c>
    </row>
    <row r="44" spans="1:7" ht="14.4" x14ac:dyDescent="0.3">
      <c r="A44" s="1">
        <v>39</v>
      </c>
      <c r="B44" s="1" t="s">
        <v>52</v>
      </c>
      <c r="C44" s="1" t="s">
        <v>53</v>
      </c>
      <c r="D44" s="1">
        <v>16618</v>
      </c>
      <c r="E44" s="4">
        <f>68+26/60</f>
        <v>68.433333333333337</v>
      </c>
      <c r="F44" s="4">
        <f>39+46/60</f>
        <v>39.766666666666666</v>
      </c>
      <c r="G44" t="s">
        <v>238</v>
      </c>
    </row>
    <row r="45" spans="1:7" ht="14.4" x14ac:dyDescent="0.3">
      <c r="A45" s="1">
        <v>76</v>
      </c>
      <c r="B45" s="1" t="s">
        <v>107</v>
      </c>
      <c r="C45" s="1" t="s">
        <v>108</v>
      </c>
      <c r="D45" s="1">
        <v>16619</v>
      </c>
      <c r="E45" s="6">
        <f>69+48/60</f>
        <v>69.8</v>
      </c>
      <c r="F45" s="6">
        <f>41+35/60</f>
        <v>41.583333333333336</v>
      </c>
      <c r="G45" t="s">
        <v>239</v>
      </c>
    </row>
    <row r="46" spans="1:7" ht="14.4" x14ac:dyDescent="0.3">
      <c r="A46" s="1">
        <v>54</v>
      </c>
      <c r="B46" s="1" t="s">
        <v>73</v>
      </c>
      <c r="C46" s="1" t="s">
        <v>74</v>
      </c>
      <c r="D46" s="1">
        <v>16656</v>
      </c>
      <c r="E46" s="4">
        <f>70+20/60</f>
        <v>70.333333333333329</v>
      </c>
      <c r="F46" s="4">
        <f>41+6/60</f>
        <v>41.1</v>
      </c>
      <c r="G46" t="s">
        <v>240</v>
      </c>
    </row>
    <row r="47" spans="1:7" ht="14.4" x14ac:dyDescent="0.3">
      <c r="A47" s="1">
        <v>41</v>
      </c>
      <c r="B47" s="1" t="s">
        <v>56</v>
      </c>
      <c r="C47" s="1" t="s">
        <v>57</v>
      </c>
      <c r="D47" s="1">
        <v>16657</v>
      </c>
      <c r="E47" s="4">
        <f>67+50/60</f>
        <v>67.833333333333329</v>
      </c>
      <c r="F47" s="4">
        <f>39+47/60</f>
        <v>39.783333333333331</v>
      </c>
      <c r="G47" t="s">
        <v>241</v>
      </c>
    </row>
    <row r="48" spans="1:7" ht="14.4" x14ac:dyDescent="0.3">
      <c r="A48" s="1">
        <v>2</v>
      </c>
      <c r="B48" s="1" t="s">
        <v>8</v>
      </c>
      <c r="C48" s="1" t="s">
        <v>9</v>
      </c>
      <c r="D48" s="1">
        <v>16671</v>
      </c>
      <c r="E48" s="2">
        <f>69+6/60</f>
        <v>69.099999999999994</v>
      </c>
      <c r="F48" s="2">
        <f>40+19/60</f>
        <v>40.31666666666667</v>
      </c>
      <c r="G48" t="s">
        <v>242</v>
      </c>
    </row>
    <row r="49" spans="1:7" ht="14.4" x14ac:dyDescent="0.3">
      <c r="A49" s="1">
        <v>78</v>
      </c>
      <c r="B49" s="1" t="s">
        <v>111</v>
      </c>
      <c r="C49" s="1" t="s">
        <v>112</v>
      </c>
      <c r="D49" s="1">
        <v>16672</v>
      </c>
      <c r="E49" s="6">
        <f>69+47/60</f>
        <v>69.783333333333331</v>
      </c>
      <c r="F49" s="6">
        <f>41+18/60</f>
        <v>41.3</v>
      </c>
      <c r="G49" t="s">
        <v>243</v>
      </c>
    </row>
    <row r="50" spans="1:7" ht="14.4" x14ac:dyDescent="0.3">
      <c r="A50" s="1">
        <v>28</v>
      </c>
      <c r="B50" s="1" t="s">
        <v>32</v>
      </c>
      <c r="C50" s="1" t="s">
        <v>33</v>
      </c>
      <c r="D50" s="1">
        <v>16678</v>
      </c>
      <c r="E50" s="3">
        <f>71+46/60</f>
        <v>71.766666666666666</v>
      </c>
      <c r="F50" s="3">
        <f>39+58/60</f>
        <v>39.966666666666669</v>
      </c>
      <c r="G50" t="s">
        <v>244</v>
      </c>
    </row>
    <row r="51" spans="1:7" ht="14.4" x14ac:dyDescent="0.3">
      <c r="A51" s="1">
        <v>30</v>
      </c>
      <c r="B51" s="1" t="s">
        <v>34</v>
      </c>
      <c r="C51" s="1" t="s">
        <v>35</v>
      </c>
      <c r="D51" s="1">
        <v>16679</v>
      </c>
      <c r="E51" s="3">
        <f>71+46/60</f>
        <v>71.766666666666666</v>
      </c>
      <c r="F51" s="3">
        <f>39+57/60</f>
        <v>39.950000000000003</v>
      </c>
      <c r="G51" t="s">
        <v>245</v>
      </c>
    </row>
    <row r="52" spans="1:7" ht="14.4" x14ac:dyDescent="0.3">
      <c r="A52" s="1">
        <v>12</v>
      </c>
      <c r="B52" s="1" t="s">
        <v>19</v>
      </c>
      <c r="C52" s="1" t="s">
        <v>20</v>
      </c>
      <c r="D52" s="1">
        <v>16700</v>
      </c>
      <c r="E52" s="2">
        <f>72+9/60</f>
        <v>72.150000000000006</v>
      </c>
      <c r="F52" s="2">
        <f>41+19/60</f>
        <v>41.31666666666667</v>
      </c>
      <c r="G52" t="s">
        <v>202</v>
      </c>
    </row>
    <row r="53" spans="1:7" ht="14.4" x14ac:dyDescent="0.3">
      <c r="A53" s="1">
        <v>13</v>
      </c>
      <c r="B53" s="1" t="s">
        <v>21</v>
      </c>
      <c r="C53" s="1" t="s">
        <v>22</v>
      </c>
      <c r="D53" s="1">
        <v>16701</v>
      </c>
      <c r="E53" s="2">
        <f>72+9/60</f>
        <v>72.150000000000006</v>
      </c>
      <c r="F53" s="2">
        <f>41+19/60</f>
        <v>41.31666666666667</v>
      </c>
      <c r="G53" t="s">
        <v>202</v>
      </c>
    </row>
    <row r="54" spans="1:7" ht="14.4" x14ac:dyDescent="0.3">
      <c r="A54" s="1">
        <v>50</v>
      </c>
      <c r="B54" s="1" t="s">
        <v>67</v>
      </c>
      <c r="C54" s="1" t="s">
        <v>68</v>
      </c>
      <c r="D54" s="1">
        <v>16704</v>
      </c>
      <c r="E54" s="5">
        <f>69+25/60</f>
        <v>69.416666666666671</v>
      </c>
      <c r="F54" s="5">
        <f>40+37/60</f>
        <v>40.616666666666667</v>
      </c>
      <c r="G54" t="s">
        <v>202</v>
      </c>
    </row>
    <row r="55" spans="1:7" ht="14.4" x14ac:dyDescent="0.3">
      <c r="A55" s="1">
        <v>51</v>
      </c>
      <c r="B55" s="1" t="s">
        <v>69</v>
      </c>
      <c r="C55" s="1" t="s">
        <v>68</v>
      </c>
      <c r="D55" s="1">
        <v>16705</v>
      </c>
      <c r="E55" s="4">
        <f>69+54/60</f>
        <v>69.900000000000006</v>
      </c>
      <c r="F55" s="4">
        <f>40+56/60</f>
        <v>40.93333333333333</v>
      </c>
      <c r="G55" t="s">
        <v>246</v>
      </c>
    </row>
    <row r="56" spans="1:7" ht="14.4" x14ac:dyDescent="0.3">
      <c r="A56" s="1">
        <v>52</v>
      </c>
      <c r="B56" s="1" t="s">
        <v>70</v>
      </c>
      <c r="C56" s="1" t="s">
        <v>68</v>
      </c>
      <c r="D56" s="1">
        <v>16706</v>
      </c>
      <c r="E56" s="4">
        <f>69+18/60</f>
        <v>69.3</v>
      </c>
      <c r="F56" s="4">
        <f>40+40/60</f>
        <v>40.666666666666664</v>
      </c>
      <c r="G56" t="s">
        <v>247</v>
      </c>
    </row>
    <row r="57" spans="1:7" ht="14.4" x14ac:dyDescent="0.3">
      <c r="A57" s="1">
        <v>19</v>
      </c>
      <c r="B57" s="1" t="s">
        <v>27</v>
      </c>
      <c r="C57" s="1" t="s">
        <v>28</v>
      </c>
      <c r="D57" s="1">
        <v>16714</v>
      </c>
      <c r="E57" s="3">
        <f>73+1/60</f>
        <v>73.016666666666666</v>
      </c>
      <c r="F57" s="3">
        <f>40+46/60</f>
        <v>40.766666666666666</v>
      </c>
      <c r="G57" t="s">
        <v>202</v>
      </c>
    </row>
    <row r="58" spans="1:7" ht="14.4" x14ac:dyDescent="0.3">
      <c r="A58" s="1">
        <v>20</v>
      </c>
      <c r="B58" s="1" t="s">
        <v>29</v>
      </c>
      <c r="C58" s="1" t="s">
        <v>30</v>
      </c>
      <c r="D58" s="1">
        <v>16715</v>
      </c>
      <c r="E58" s="3">
        <f>73+0/60</f>
        <v>73</v>
      </c>
      <c r="F58" s="3">
        <f>40+47/60</f>
        <v>40.783333333333331</v>
      </c>
      <c r="G58" t="s">
        <v>203</v>
      </c>
    </row>
    <row r="59" spans="1:7" ht="14.4" x14ac:dyDescent="0.3">
      <c r="A59" s="1">
        <v>21</v>
      </c>
      <c r="B59" s="1" t="s">
        <v>31</v>
      </c>
      <c r="C59" s="1" t="s">
        <v>30</v>
      </c>
      <c r="D59" s="1">
        <v>16716</v>
      </c>
      <c r="E59" s="3">
        <f>73+0/60</f>
        <v>73</v>
      </c>
      <c r="F59" s="3">
        <f>40+47/60</f>
        <v>40.783333333333331</v>
      </c>
      <c r="G59" t="s">
        <v>203</v>
      </c>
    </row>
    <row r="60" spans="1:7" ht="14.4" x14ac:dyDescent="0.3">
      <c r="A60" s="1">
        <v>7</v>
      </c>
      <c r="B60" s="1" t="s">
        <v>13</v>
      </c>
      <c r="C60" s="1" t="s">
        <v>14</v>
      </c>
      <c r="D60" s="1">
        <v>16756</v>
      </c>
      <c r="E60" s="2">
        <f>69+18/60</f>
        <v>69.3</v>
      </c>
      <c r="F60" s="2">
        <f>40+12/60</f>
        <v>40.200000000000003</v>
      </c>
      <c r="G60" t="s">
        <v>248</v>
      </c>
    </row>
    <row r="61" spans="1:7" ht="14.4" x14ac:dyDescent="0.3">
      <c r="A61" s="1">
        <v>8</v>
      </c>
      <c r="B61" s="1" t="s">
        <v>15</v>
      </c>
      <c r="C61" s="1" t="s">
        <v>16</v>
      </c>
      <c r="D61" s="1">
        <v>16757</v>
      </c>
      <c r="E61" s="2">
        <f>69+7/60</f>
        <v>69.11666666666666</v>
      </c>
      <c r="F61" s="2">
        <f>40+17/60</f>
        <v>40.283333333333331</v>
      </c>
      <c r="G61" t="s">
        <v>249</v>
      </c>
    </row>
    <row r="62" spans="1:7" ht="14.4" x14ac:dyDescent="0.3">
      <c r="A62" s="1">
        <v>83</v>
      </c>
      <c r="B62" s="1" t="s">
        <v>113</v>
      </c>
      <c r="C62" s="1" t="s">
        <v>114</v>
      </c>
      <c r="D62" s="1">
        <v>17019</v>
      </c>
      <c r="E62" s="6">
        <f>61+24/60</f>
        <v>61.4</v>
      </c>
      <c r="F62" s="6">
        <f>41+13/60</f>
        <v>41.216666666666669</v>
      </c>
      <c r="G62" t="s">
        <v>250</v>
      </c>
    </row>
    <row r="63" spans="1:7" ht="14.4" x14ac:dyDescent="0.3">
      <c r="A63" s="1">
        <v>86</v>
      </c>
      <c r="B63" s="1" t="s">
        <v>113</v>
      </c>
      <c r="C63" s="1" t="s">
        <v>116</v>
      </c>
      <c r="D63" s="1">
        <v>17024</v>
      </c>
      <c r="E63" s="7">
        <f>60+6/60</f>
        <v>60.1</v>
      </c>
      <c r="F63" s="7">
        <f>42+14/60</f>
        <v>42.233333333333334</v>
      </c>
      <c r="G63" t="s">
        <v>251</v>
      </c>
    </row>
    <row r="64" spans="1:7" ht="14.4" x14ac:dyDescent="0.3">
      <c r="A64" s="1">
        <v>89</v>
      </c>
      <c r="B64" s="1" t="s">
        <v>115</v>
      </c>
      <c r="C64" s="1" t="s">
        <v>117</v>
      </c>
      <c r="D64" s="1">
        <v>17027</v>
      </c>
      <c r="E64" s="7">
        <f>59+30/60</f>
        <v>59.5</v>
      </c>
      <c r="F64" s="7">
        <f>42+30/60</f>
        <v>42.5</v>
      </c>
      <c r="G64" t="s">
        <v>252</v>
      </c>
    </row>
    <row r="65" spans="1:7" ht="14.4" x14ac:dyDescent="0.3">
      <c r="A65" s="1">
        <v>90</v>
      </c>
      <c r="B65" s="1" t="s">
        <v>113</v>
      </c>
      <c r="C65" s="1" t="s">
        <v>118</v>
      </c>
      <c r="D65" s="1">
        <v>17032</v>
      </c>
      <c r="E65" s="7">
        <f>59+8/60</f>
        <v>59.133333333333333</v>
      </c>
      <c r="F65" s="7">
        <f>43+9/60</f>
        <v>43.15</v>
      </c>
      <c r="G65" t="s">
        <v>253</v>
      </c>
    </row>
    <row r="66" spans="1:7" ht="14.4" x14ac:dyDescent="0.3">
      <c r="A66" s="1">
        <v>93</v>
      </c>
      <c r="B66" s="1" t="s">
        <v>119</v>
      </c>
      <c r="C66" s="1" t="s">
        <v>120</v>
      </c>
      <c r="D66" s="1">
        <v>17189</v>
      </c>
      <c r="E66" s="7">
        <f>67+48/60</f>
        <v>67.8</v>
      </c>
      <c r="F66" s="7">
        <f>37+57/60</f>
        <v>37.950000000000003</v>
      </c>
      <c r="G66" t="s">
        <v>254</v>
      </c>
    </row>
    <row r="67" spans="1:7" ht="14.4" x14ac:dyDescent="0.3">
      <c r="A67" s="1">
        <v>95</v>
      </c>
      <c r="B67" s="1" t="s">
        <v>119</v>
      </c>
      <c r="C67" s="1" t="s">
        <v>122</v>
      </c>
      <c r="D67" s="1">
        <v>17193</v>
      </c>
      <c r="E67" s="7">
        <f>67+22/60</f>
        <v>67.36666666666666</v>
      </c>
      <c r="F67" s="7">
        <f>37+17/60</f>
        <v>37.283333333333331</v>
      </c>
      <c r="G67" t="s">
        <v>255</v>
      </c>
    </row>
    <row r="68" spans="1:7" ht="14.4" x14ac:dyDescent="0.3">
      <c r="A68" s="1">
        <v>96</v>
      </c>
      <c r="B68" s="1" t="s">
        <v>123</v>
      </c>
      <c r="C68" s="1" t="s">
        <v>124</v>
      </c>
      <c r="D68" s="1">
        <v>17194</v>
      </c>
      <c r="E68" s="6">
        <v>67.596827000000005</v>
      </c>
      <c r="F68" s="6">
        <v>37.806879000000002</v>
      </c>
      <c r="G68" t="s">
        <v>256</v>
      </c>
    </row>
    <row r="69" spans="1:7" ht="14.4" x14ac:dyDescent="0.3">
      <c r="A69" s="1">
        <v>97</v>
      </c>
      <c r="B69" s="1" t="s">
        <v>123</v>
      </c>
      <c r="C69" s="1" t="s">
        <v>125</v>
      </c>
      <c r="D69" s="1">
        <v>17196</v>
      </c>
      <c r="E69" s="6">
        <f>68+0/60</f>
        <v>68</v>
      </c>
      <c r="F69" s="6">
        <f>38+20/60</f>
        <v>38.333333333333336</v>
      </c>
      <c r="G69" t="s">
        <v>257</v>
      </c>
    </row>
    <row r="70" spans="1:7" ht="14.4" x14ac:dyDescent="0.3">
      <c r="A70" s="1">
        <v>98</v>
      </c>
      <c r="B70" s="1" t="s">
        <v>126</v>
      </c>
      <c r="C70" s="1" t="s">
        <v>127</v>
      </c>
      <c r="D70" s="1">
        <v>17198</v>
      </c>
      <c r="E70" s="6">
        <f>67+59/60</f>
        <v>67.983333333333334</v>
      </c>
      <c r="F70" s="6">
        <f>38+35/60</f>
        <v>38.583333333333336</v>
      </c>
      <c r="G70" t="s">
        <v>223</v>
      </c>
    </row>
    <row r="71" spans="1:7" ht="14.4" x14ac:dyDescent="0.3">
      <c r="A71" s="1">
        <v>99</v>
      </c>
      <c r="B71" s="1" t="s">
        <v>128</v>
      </c>
      <c r="C71" s="1" t="s">
        <v>129</v>
      </c>
      <c r="D71" s="1">
        <v>17200</v>
      </c>
      <c r="E71" s="5">
        <f>68+3/60</f>
        <v>68.05</v>
      </c>
      <c r="F71" s="5">
        <f>38+31/60</f>
        <v>38.516666666666666</v>
      </c>
      <c r="G71" t="s">
        <v>258</v>
      </c>
    </row>
    <row r="72" spans="1:7" ht="14.4" x14ac:dyDescent="0.3">
      <c r="A72" s="1">
        <v>103</v>
      </c>
      <c r="B72" s="1" t="s">
        <v>134</v>
      </c>
      <c r="C72" s="1" t="s">
        <v>135</v>
      </c>
      <c r="D72" s="1">
        <v>17211</v>
      </c>
      <c r="E72" s="6">
        <f>67+47/60</f>
        <v>67.783333333333331</v>
      </c>
      <c r="F72" s="6">
        <f>38+27/60</f>
        <v>38.450000000000003</v>
      </c>
      <c r="G72" t="s">
        <v>259</v>
      </c>
    </row>
    <row r="73" spans="1:7" ht="14.4" x14ac:dyDescent="0.3">
      <c r="A73" s="1">
        <v>105</v>
      </c>
      <c r="B73" s="1" t="s">
        <v>137</v>
      </c>
      <c r="C73" s="1" t="s">
        <v>138</v>
      </c>
      <c r="D73" s="1">
        <v>17213</v>
      </c>
      <c r="E73" s="6">
        <f>67+31/60</f>
        <v>67.516666666666666</v>
      </c>
      <c r="F73" s="6">
        <f>38+15/60</f>
        <v>38.25</v>
      </c>
      <c r="G73" t="s">
        <v>260</v>
      </c>
    </row>
    <row r="74" spans="1:7" ht="14.4" x14ac:dyDescent="0.3">
      <c r="A74" s="1">
        <v>106</v>
      </c>
      <c r="B74" s="1" t="s">
        <v>137</v>
      </c>
      <c r="C74" s="1" t="s">
        <v>35</v>
      </c>
      <c r="D74" s="1">
        <v>17216</v>
      </c>
      <c r="E74" s="7">
        <f>67+40/60</f>
        <v>67.666666666666671</v>
      </c>
      <c r="F74" s="7">
        <f>38+0/60</f>
        <v>38</v>
      </c>
      <c r="G74" t="s">
        <v>261</v>
      </c>
    </row>
    <row r="75" spans="1:7" ht="14.4" x14ac:dyDescent="0.3">
      <c r="A75" s="1">
        <v>108</v>
      </c>
      <c r="B75" s="1" t="s">
        <v>140</v>
      </c>
      <c r="C75" s="1" t="s">
        <v>141</v>
      </c>
      <c r="D75" s="1">
        <v>17219</v>
      </c>
      <c r="E75" s="6">
        <f>67+13/60</f>
        <v>67.216666666666669</v>
      </c>
      <c r="F75" s="6">
        <f>38+17/60</f>
        <v>38.283333333333331</v>
      </c>
      <c r="G75" t="s">
        <v>262</v>
      </c>
    </row>
    <row r="76" spans="1:7" ht="14.4" x14ac:dyDescent="0.3">
      <c r="A76" s="1">
        <v>109</v>
      </c>
      <c r="B76" s="1" t="s">
        <v>142</v>
      </c>
      <c r="C76" s="1" t="s">
        <v>143</v>
      </c>
      <c r="D76" s="1">
        <v>17221</v>
      </c>
      <c r="E76" s="7">
        <f>67+1/60</f>
        <v>67.016666666666666</v>
      </c>
      <c r="F76" s="7">
        <f>38+12/60</f>
        <v>38.200000000000003</v>
      </c>
      <c r="G76" t="s">
        <v>263</v>
      </c>
    </row>
    <row r="77" spans="1:7" ht="14.4" x14ac:dyDescent="0.3">
      <c r="A77" s="1">
        <v>110</v>
      </c>
      <c r="B77" s="1" t="s">
        <v>144</v>
      </c>
      <c r="C77" s="1" t="s">
        <v>145</v>
      </c>
      <c r="D77" s="1">
        <v>17223</v>
      </c>
      <c r="E77" s="7">
        <f>67+0/60</f>
        <v>67</v>
      </c>
      <c r="F77" s="7">
        <f>37+43/60</f>
        <v>37.716666666666669</v>
      </c>
      <c r="G77" t="s">
        <v>264</v>
      </c>
    </row>
    <row r="78" spans="1:7" ht="14.4" x14ac:dyDescent="0.3">
      <c r="A78" s="1">
        <v>111</v>
      </c>
      <c r="B78" s="1" t="s">
        <v>146</v>
      </c>
      <c r="C78" s="1" t="s">
        <v>147</v>
      </c>
      <c r="D78" s="1">
        <v>17231</v>
      </c>
      <c r="E78" s="7">
        <f>67+2/60</f>
        <v>67.033333333333331</v>
      </c>
      <c r="F78" s="7">
        <f>39+14/60</f>
        <v>39.233333333333334</v>
      </c>
      <c r="G78" t="s">
        <v>265</v>
      </c>
    </row>
    <row r="79" spans="1:7" ht="14.4" x14ac:dyDescent="0.3">
      <c r="A79" s="1">
        <v>112</v>
      </c>
      <c r="B79" s="1" t="s">
        <v>148</v>
      </c>
      <c r="C79" s="1" t="s">
        <v>149</v>
      </c>
      <c r="D79" s="1">
        <v>17236</v>
      </c>
      <c r="E79" s="7">
        <f>66+35/60</f>
        <v>66.583333333333329</v>
      </c>
      <c r="F79" s="7">
        <f>39+3/60</f>
        <v>39.049999999999997</v>
      </c>
      <c r="G79" t="s">
        <v>266</v>
      </c>
    </row>
    <row r="80" spans="1:7" ht="14.4" x14ac:dyDescent="0.3">
      <c r="A80" s="1">
        <v>113</v>
      </c>
      <c r="B80" s="1" t="s">
        <v>148</v>
      </c>
      <c r="C80" s="1" t="s">
        <v>150</v>
      </c>
      <c r="D80" s="1">
        <v>17238</v>
      </c>
      <c r="E80" s="7">
        <f>66+21/60</f>
        <v>66.349999999999994</v>
      </c>
      <c r="F80" s="7">
        <f>38+56/60</f>
        <v>38.93333333333333</v>
      </c>
      <c r="G80" t="s">
        <v>267</v>
      </c>
    </row>
    <row r="81" spans="1:7" ht="14.4" x14ac:dyDescent="0.3">
      <c r="A81" s="1">
        <v>117</v>
      </c>
      <c r="B81" s="1" t="s">
        <v>155</v>
      </c>
      <c r="C81" s="1" t="s">
        <v>156</v>
      </c>
      <c r="D81" s="1">
        <v>17245</v>
      </c>
      <c r="E81" s="6">
        <f>67+17/60</f>
        <v>67.283333333333331</v>
      </c>
      <c r="F81" s="6">
        <f>39+11/60</f>
        <v>39.18333333333333</v>
      </c>
      <c r="G81" t="s">
        <v>268</v>
      </c>
    </row>
    <row r="82" spans="1:7" ht="14.4" x14ac:dyDescent="0.3">
      <c r="A82" s="1">
        <v>118</v>
      </c>
      <c r="B82" s="1" t="s">
        <v>157</v>
      </c>
      <c r="C82" s="1" t="s">
        <v>158</v>
      </c>
      <c r="D82" s="1">
        <v>17249</v>
      </c>
      <c r="E82" s="6">
        <f>67+16/60</f>
        <v>67.266666666666666</v>
      </c>
      <c r="F82" s="6">
        <f>39+1/60</f>
        <v>39.016666666666666</v>
      </c>
      <c r="G82" t="s">
        <v>269</v>
      </c>
    </row>
    <row r="83" spans="1:7" ht="14.4" x14ac:dyDescent="0.3">
      <c r="A83" s="1">
        <v>120</v>
      </c>
      <c r="B83" s="1" t="s">
        <v>161</v>
      </c>
      <c r="C83" s="1" t="s">
        <v>162</v>
      </c>
      <c r="D83" s="1">
        <v>17257</v>
      </c>
      <c r="E83" s="6">
        <f>67+4/60</f>
        <v>67.066666666666663</v>
      </c>
      <c r="F83" s="6">
        <f>38+59/60</f>
        <v>38.983333333333334</v>
      </c>
      <c r="G83" t="s">
        <v>270</v>
      </c>
    </row>
    <row r="84" spans="1:7" ht="14.4" x14ac:dyDescent="0.3">
      <c r="A84" s="1">
        <v>121</v>
      </c>
      <c r="B84" s="1" t="s">
        <v>163</v>
      </c>
      <c r="C84" s="1" t="s">
        <v>164</v>
      </c>
      <c r="D84" s="1">
        <v>17260</v>
      </c>
      <c r="E84" s="7">
        <f>67+6/60</f>
        <v>67.099999999999994</v>
      </c>
      <c r="F84" s="7">
        <f>38+50/60</f>
        <v>38.833333333333336</v>
      </c>
      <c r="G84" t="s">
        <v>271</v>
      </c>
    </row>
    <row r="85" spans="1:7" ht="14.4" x14ac:dyDescent="0.3">
      <c r="A85" s="1">
        <v>122</v>
      </c>
      <c r="B85" s="1" t="s">
        <v>165</v>
      </c>
      <c r="C85" s="1" t="s">
        <v>166</v>
      </c>
      <c r="D85" s="1">
        <v>17270</v>
      </c>
      <c r="E85" s="7">
        <f>66+23/60</f>
        <v>66.38333333333334</v>
      </c>
      <c r="F85" s="7">
        <f>38+29/60</f>
        <v>38.483333333333334</v>
      </c>
      <c r="G85" t="s">
        <v>272</v>
      </c>
    </row>
    <row r="86" spans="1:7" ht="14.4" x14ac:dyDescent="0.3">
      <c r="A86" s="1">
        <v>123</v>
      </c>
      <c r="B86" s="1" t="s">
        <v>167</v>
      </c>
      <c r="C86" s="1" t="s">
        <v>168</v>
      </c>
      <c r="D86" s="1">
        <v>17275</v>
      </c>
      <c r="E86" s="7">
        <f>E84</f>
        <v>67.099999999999994</v>
      </c>
      <c r="F86" s="7">
        <f>38+27/60</f>
        <v>38.450000000000003</v>
      </c>
      <c r="G86" t="s">
        <v>273</v>
      </c>
    </row>
    <row r="87" spans="1:7" ht="14.4" x14ac:dyDescent="0.3">
      <c r="A87" s="1">
        <v>124</v>
      </c>
      <c r="B87" s="1" t="s">
        <v>169</v>
      </c>
      <c r="C87" s="1" t="s">
        <v>170</v>
      </c>
      <c r="D87" s="1">
        <v>17279</v>
      </c>
      <c r="E87" s="7">
        <f>66+30/60</f>
        <v>66.5</v>
      </c>
      <c r="F87" s="7">
        <f>38+32/60</f>
        <v>38.533333333333331</v>
      </c>
      <c r="G87" t="s">
        <v>274</v>
      </c>
    </row>
    <row r="88" spans="1:7" ht="14.4" x14ac:dyDescent="0.3">
      <c r="A88" s="1">
        <v>128</v>
      </c>
      <c r="B88" s="1" t="s">
        <v>177</v>
      </c>
      <c r="C88" s="1" t="s">
        <v>178</v>
      </c>
      <c r="D88" s="1">
        <v>17291</v>
      </c>
      <c r="E88" s="7">
        <f>67+3/60</f>
        <v>67.05</v>
      </c>
      <c r="F88" s="7">
        <f>39+41/60</f>
        <v>39.68333333333333</v>
      </c>
      <c r="G88" t="s">
        <v>275</v>
      </c>
    </row>
    <row r="89" spans="1:7" ht="14.4" x14ac:dyDescent="0.3">
      <c r="A89" s="1">
        <v>134</v>
      </c>
      <c r="B89" s="1" t="s">
        <v>171</v>
      </c>
      <c r="C89" s="1" t="s">
        <v>182</v>
      </c>
      <c r="D89" s="1">
        <v>17304</v>
      </c>
      <c r="E89" s="7">
        <f>65+20/60</f>
        <v>65.333333333333329</v>
      </c>
      <c r="F89" s="7">
        <f>40+8/60</f>
        <v>40.133333333333333</v>
      </c>
      <c r="G89" t="s">
        <v>276</v>
      </c>
    </row>
    <row r="90" spans="1:7" ht="14.4" x14ac:dyDescent="0.3">
      <c r="A90" s="1">
        <v>141</v>
      </c>
      <c r="B90" s="1" t="s">
        <v>187</v>
      </c>
      <c r="C90" s="1" t="s">
        <v>188</v>
      </c>
      <c r="D90" s="1">
        <v>17345</v>
      </c>
      <c r="E90" s="6">
        <f>67+15/60</f>
        <v>67.25</v>
      </c>
      <c r="F90" s="6">
        <f>39+23/60</f>
        <v>39.383333333333333</v>
      </c>
      <c r="G90" t="s">
        <v>277</v>
      </c>
    </row>
    <row r="91" spans="1:7" ht="14.4" x14ac:dyDescent="0.3">
      <c r="A91" s="1">
        <v>142</v>
      </c>
      <c r="B91" s="1" t="s">
        <v>189</v>
      </c>
      <c r="C91" s="1" t="s">
        <v>190</v>
      </c>
      <c r="D91" s="1">
        <v>17347</v>
      </c>
      <c r="E91" s="6">
        <f>66+59/60</f>
        <v>66.983333333333334</v>
      </c>
      <c r="F91" s="6">
        <f>39+20/60</f>
        <v>39.333333333333336</v>
      </c>
      <c r="G91" t="s">
        <v>278</v>
      </c>
    </row>
    <row r="92" spans="1:7" ht="14.4" x14ac:dyDescent="0.3">
      <c r="A92" s="1">
        <v>145</v>
      </c>
      <c r="B92" s="1" t="s">
        <v>193</v>
      </c>
      <c r="C92" s="1" t="s">
        <v>194</v>
      </c>
      <c r="D92" s="1">
        <v>17354</v>
      </c>
      <c r="E92" s="6">
        <f>66+15/60</f>
        <v>66.25</v>
      </c>
      <c r="F92" s="6">
        <f>40+26/60</f>
        <v>40.43333333333333</v>
      </c>
      <c r="G92" t="s">
        <v>246</v>
      </c>
    </row>
    <row r="93" spans="1:7" ht="14.4" x14ac:dyDescent="0.3">
      <c r="A93" s="1">
        <v>147</v>
      </c>
      <c r="B93" s="1" t="s">
        <v>197</v>
      </c>
      <c r="C93" s="1" t="s">
        <v>198</v>
      </c>
      <c r="D93" s="1">
        <v>17355</v>
      </c>
      <c r="E93" s="6">
        <f>66+25/60</f>
        <v>66.416666666666671</v>
      </c>
      <c r="F93" s="6">
        <f>40+31/60</f>
        <v>40.516666666666666</v>
      </c>
      <c r="G93" t="s">
        <v>279</v>
      </c>
    </row>
    <row r="94" spans="1:7" ht="14.4" x14ac:dyDescent="0.3">
      <c r="A94" s="1">
        <v>94</v>
      </c>
      <c r="B94" s="1" t="s">
        <v>119</v>
      </c>
      <c r="C94" s="1" t="s">
        <v>121</v>
      </c>
      <c r="D94" s="1">
        <v>17403</v>
      </c>
      <c r="E94" s="7">
        <f>67+37/60</f>
        <v>67.61666666666666</v>
      </c>
      <c r="F94" s="7">
        <f>37+48/60</f>
        <v>37.799999999999997</v>
      </c>
      <c r="G94" t="s">
        <v>280</v>
      </c>
    </row>
    <row r="95" spans="1:7" ht="14.4" x14ac:dyDescent="0.3">
      <c r="A95" s="1">
        <v>146</v>
      </c>
      <c r="B95" s="1" t="s">
        <v>195</v>
      </c>
      <c r="C95" s="1" t="s">
        <v>196</v>
      </c>
      <c r="D95" s="1">
        <v>17404</v>
      </c>
      <c r="E95" s="6">
        <f>66+17/60</f>
        <v>66.283333333333331</v>
      </c>
      <c r="F95" s="6">
        <f>40+14/60</f>
        <v>40.233333333333334</v>
      </c>
      <c r="G95" t="s">
        <v>281</v>
      </c>
    </row>
    <row r="96" spans="1:7" ht="14.4" x14ac:dyDescent="0.3">
      <c r="A96" s="1">
        <v>104</v>
      </c>
      <c r="B96" s="1" t="s">
        <v>134</v>
      </c>
      <c r="C96" s="1" t="s">
        <v>136</v>
      </c>
      <c r="D96" s="1">
        <v>17454</v>
      </c>
      <c r="E96" s="6">
        <f>67+56/60</f>
        <v>67.933333333333337</v>
      </c>
      <c r="F96" s="6">
        <f>38+10/60</f>
        <v>38.166666666666664</v>
      </c>
      <c r="G96" t="s">
        <v>261</v>
      </c>
    </row>
    <row r="97" spans="1:7" ht="14.4" x14ac:dyDescent="0.3">
      <c r="A97" s="1">
        <v>107</v>
      </c>
      <c r="B97" s="1" t="s">
        <v>139</v>
      </c>
      <c r="C97" s="1" t="s">
        <v>35</v>
      </c>
      <c r="D97" s="1">
        <v>17455</v>
      </c>
      <c r="E97" s="7">
        <f>67+23/60</f>
        <v>67.38333333333334</v>
      </c>
      <c r="F97" s="7">
        <f>38+15/60</f>
        <v>38.25</v>
      </c>
      <c r="G97" t="s">
        <v>282</v>
      </c>
    </row>
    <row r="98" spans="1:7" ht="14.4" x14ac:dyDescent="0.3">
      <c r="A98" s="1">
        <v>102</v>
      </c>
      <c r="B98" s="1" t="s">
        <v>133</v>
      </c>
      <c r="C98" s="1" t="s">
        <v>35</v>
      </c>
      <c r="D98" s="1">
        <v>17456</v>
      </c>
      <c r="E98" s="7">
        <f>68+4/60</f>
        <v>68.066666666666663</v>
      </c>
      <c r="F98" s="7">
        <f>38+21/60</f>
        <v>38.35</v>
      </c>
      <c r="G98" t="s">
        <v>283</v>
      </c>
    </row>
    <row r="99" spans="1:7" ht="14.4" x14ac:dyDescent="0.3">
      <c r="A99" s="1">
        <v>125</v>
      </c>
      <c r="B99" s="1" t="s">
        <v>171</v>
      </c>
      <c r="C99" s="1" t="s">
        <v>172</v>
      </c>
      <c r="D99" s="1">
        <v>17461</v>
      </c>
      <c r="E99" s="7">
        <f>67+24/60</f>
        <v>67.400000000000006</v>
      </c>
      <c r="F99" s="7">
        <f>38+32/60</f>
        <v>38.533333333333331</v>
      </c>
      <c r="G99" t="s">
        <v>284</v>
      </c>
    </row>
    <row r="100" spans="1:7" ht="14.4" x14ac:dyDescent="0.3">
      <c r="A100" s="1">
        <v>119</v>
      </c>
      <c r="B100" s="1" t="s">
        <v>159</v>
      </c>
      <c r="C100" s="1" t="s">
        <v>160</v>
      </c>
      <c r="D100" s="1">
        <v>17464</v>
      </c>
      <c r="E100" s="6">
        <f>67+8/60</f>
        <v>67.13333333333334</v>
      </c>
      <c r="F100" s="6">
        <f>39+2/60</f>
        <v>39.033333333333331</v>
      </c>
      <c r="G100" t="s">
        <v>285</v>
      </c>
    </row>
    <row r="101" spans="1:7" ht="14.4" x14ac:dyDescent="0.3">
      <c r="A101" s="1">
        <v>143</v>
      </c>
      <c r="B101" s="1" t="s">
        <v>191</v>
      </c>
      <c r="C101" s="1" t="s">
        <v>192</v>
      </c>
      <c r="D101" s="1">
        <v>17466</v>
      </c>
      <c r="E101" s="6">
        <f>66+52/60</f>
        <v>66.86666666666666</v>
      </c>
      <c r="F101" s="6">
        <f>39+30/60</f>
        <v>39.5</v>
      </c>
      <c r="G101" t="s">
        <v>286</v>
      </c>
    </row>
    <row r="102" spans="1:7" ht="14.4" x14ac:dyDescent="0.3">
      <c r="A102" s="1">
        <v>115</v>
      </c>
      <c r="B102" s="1" t="s">
        <v>153</v>
      </c>
      <c r="C102" s="1" t="s">
        <v>68</v>
      </c>
      <c r="D102" s="1">
        <v>17706</v>
      </c>
      <c r="E102" s="6">
        <f>66+22/60</f>
        <v>66.36666666666666</v>
      </c>
      <c r="F102" s="6">
        <f>38+56/60</f>
        <v>38.93333333333333</v>
      </c>
      <c r="G102" t="s">
        <v>287</v>
      </c>
    </row>
    <row r="103" spans="1:7" ht="14.4" x14ac:dyDescent="0.3">
      <c r="A103" s="1">
        <v>116</v>
      </c>
      <c r="B103" s="1" t="s">
        <v>154</v>
      </c>
      <c r="C103" s="1" t="s">
        <v>68</v>
      </c>
      <c r="D103" s="1">
        <v>17707</v>
      </c>
      <c r="E103" s="6">
        <f>66+22/60</f>
        <v>66.36666666666666</v>
      </c>
      <c r="F103" s="6">
        <f>38+56/60</f>
        <v>38.93333333333333</v>
      </c>
      <c r="G103" t="s">
        <v>287</v>
      </c>
    </row>
    <row r="104" spans="1:7" ht="14.4" x14ac:dyDescent="0.3">
      <c r="A104" s="1">
        <v>138</v>
      </c>
      <c r="B104" s="1" t="s">
        <v>183</v>
      </c>
      <c r="C104" s="1" t="s">
        <v>35</v>
      </c>
      <c r="D104" s="1">
        <v>17708</v>
      </c>
      <c r="E104" s="6">
        <f>66+16/60</f>
        <v>66.266666666666666</v>
      </c>
      <c r="F104" s="6">
        <f>39+52/60</f>
        <v>39.866666666666667</v>
      </c>
      <c r="G104" t="s">
        <v>288</v>
      </c>
    </row>
    <row r="105" spans="1:7" ht="14.4" x14ac:dyDescent="0.3">
      <c r="A105" s="1">
        <v>139</v>
      </c>
      <c r="B105" s="1" t="s">
        <v>184</v>
      </c>
      <c r="C105" s="1" t="s">
        <v>68</v>
      </c>
      <c r="D105" s="1">
        <v>17709</v>
      </c>
      <c r="E105" s="6">
        <f>66+14/60</f>
        <v>66.233333333333334</v>
      </c>
      <c r="F105" s="6">
        <f>39+51/60</f>
        <v>39.85</v>
      </c>
      <c r="G105" t="s">
        <v>288</v>
      </c>
    </row>
    <row r="106" spans="1:7" ht="14.4" x14ac:dyDescent="0.3">
      <c r="A106" s="1">
        <v>100</v>
      </c>
      <c r="B106" s="1" t="s">
        <v>130</v>
      </c>
      <c r="C106" s="1" t="s">
        <v>131</v>
      </c>
      <c r="D106" s="1">
        <v>17714</v>
      </c>
      <c r="E106" s="6">
        <f>68+3/60</f>
        <v>68.05</v>
      </c>
      <c r="F106" s="6">
        <f>38+31/60</f>
        <v>38.516666666666666</v>
      </c>
      <c r="G106" t="s">
        <v>258</v>
      </c>
    </row>
    <row r="107" spans="1:7" ht="14.4" x14ac:dyDescent="0.3">
      <c r="A107" s="1">
        <v>101</v>
      </c>
      <c r="B107" s="1" t="s">
        <v>132</v>
      </c>
      <c r="C107" s="1" t="s">
        <v>131</v>
      </c>
      <c r="D107" s="1">
        <v>17715</v>
      </c>
      <c r="E107" s="6">
        <f>68+3/60</f>
        <v>68.05</v>
      </c>
      <c r="F107" s="6">
        <f>38+31/60</f>
        <v>38.516666666666666</v>
      </c>
      <c r="G107" t="s">
        <v>258</v>
      </c>
    </row>
    <row r="108" spans="1:7" ht="14.4" x14ac:dyDescent="0.3">
      <c r="A108" s="1">
        <v>127</v>
      </c>
      <c r="B108" s="1" t="s">
        <v>175</v>
      </c>
      <c r="C108" s="1" t="s">
        <v>176</v>
      </c>
      <c r="D108" s="1">
        <v>17761</v>
      </c>
      <c r="E108" s="7">
        <f>66+27/60</f>
        <v>66.45</v>
      </c>
      <c r="F108" s="7">
        <f>39+32/60</f>
        <v>39.533333333333331</v>
      </c>
      <c r="G108" t="s">
        <v>289</v>
      </c>
    </row>
    <row r="109" spans="1:7" ht="14.4" x14ac:dyDescent="0.3">
      <c r="A109" s="1">
        <v>126</v>
      </c>
      <c r="B109" s="1" t="s">
        <v>173</v>
      </c>
      <c r="C109" s="1" t="s">
        <v>174</v>
      </c>
      <c r="D109" s="1">
        <v>17764</v>
      </c>
      <c r="E109" s="7">
        <f>67+25/60</f>
        <v>67.416666666666671</v>
      </c>
      <c r="F109" s="7">
        <f>39+32/60</f>
        <v>39.533333333333331</v>
      </c>
      <c r="G109" t="s">
        <v>290</v>
      </c>
    </row>
    <row r="110" spans="1:7" ht="14.4" x14ac:dyDescent="0.3">
      <c r="A110" s="1">
        <v>114</v>
      </c>
      <c r="B110" s="1" t="s">
        <v>151</v>
      </c>
      <c r="C110" s="1" t="s">
        <v>152</v>
      </c>
      <c r="D110" s="1">
        <v>17765</v>
      </c>
      <c r="E110" s="7">
        <f>67+2/60</f>
        <v>67.033333333333331</v>
      </c>
      <c r="F110" s="7">
        <f>39+14/60</f>
        <v>39.233333333333334</v>
      </c>
      <c r="G110" t="s">
        <v>265</v>
      </c>
    </row>
    <row r="111" spans="1:7" ht="14.4" x14ac:dyDescent="0.3">
      <c r="A111" s="1">
        <v>140</v>
      </c>
      <c r="B111" s="1" t="s">
        <v>185</v>
      </c>
      <c r="C111" s="1" t="s">
        <v>186</v>
      </c>
      <c r="D111" s="1">
        <v>17766</v>
      </c>
      <c r="E111" s="6">
        <f>66+15/60</f>
        <v>66.25</v>
      </c>
      <c r="F111" s="6">
        <f>39+51/60</f>
        <v>39.85</v>
      </c>
      <c r="G111" t="s">
        <v>291</v>
      </c>
    </row>
    <row r="112" spans="1:7" ht="14.4" x14ac:dyDescent="0.3">
      <c r="A112" s="1">
        <v>129</v>
      </c>
      <c r="B112" s="1" t="s">
        <v>179</v>
      </c>
      <c r="C112" s="1" t="s">
        <v>174</v>
      </c>
      <c r="D112" s="1">
        <v>17783</v>
      </c>
      <c r="E112" s="7">
        <f>67+3/60</f>
        <v>67.05</v>
      </c>
      <c r="F112" s="7">
        <f>39+42/60</f>
        <v>39.700000000000003</v>
      </c>
      <c r="G112" t="s">
        <v>292</v>
      </c>
    </row>
    <row r="113" spans="1:7" ht="14.4" x14ac:dyDescent="0.3">
      <c r="A113" s="1">
        <v>130</v>
      </c>
      <c r="B113" s="1" t="s">
        <v>180</v>
      </c>
      <c r="C113" s="1" t="s">
        <v>174</v>
      </c>
      <c r="D113" s="1">
        <v>17784</v>
      </c>
      <c r="E113" s="7">
        <f>67+4/60</f>
        <v>67.066666666666663</v>
      </c>
      <c r="F113" s="7">
        <f>39+42/60</f>
        <v>39.700000000000003</v>
      </c>
      <c r="G113" t="s">
        <v>293</v>
      </c>
    </row>
    <row r="114" spans="1:7" ht="14.4" x14ac:dyDescent="0.3">
      <c r="A114" s="1">
        <v>131</v>
      </c>
      <c r="B114" s="1" t="s">
        <v>181</v>
      </c>
      <c r="C114" s="1" t="s">
        <v>174</v>
      </c>
      <c r="D114" s="1">
        <v>17785</v>
      </c>
      <c r="E114" s="7">
        <f>67+3/60</f>
        <v>67.05</v>
      </c>
      <c r="F114" s="7">
        <f>39+41/60</f>
        <v>39.68333333333333</v>
      </c>
      <c r="G114" t="s">
        <v>275</v>
      </c>
    </row>
  </sheetData>
  <sortState ref="A2:F114">
    <sortCondition ref="D1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Timur Sabitov</cp:lastModifiedBy>
  <dcterms:created xsi:type="dcterms:W3CDTF">2019-12-18T10:08:19Z</dcterms:created>
  <dcterms:modified xsi:type="dcterms:W3CDTF">2022-05-12T04:49:36Z</dcterms:modified>
</cp:coreProperties>
</file>